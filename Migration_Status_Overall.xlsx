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"/>
    </mc:Choice>
  </mc:AlternateContent>
  <xr:revisionPtr revIDLastSave="121" documentId="13_ncr:1_{B9E6D411-BE56-4C72-BA10-F07CC969BCF9}" xr6:coauthVersionLast="47" xr6:coauthVersionMax="47" xr10:uidLastSave="{E24C78AA-1021-4727-A3DE-FD3598ADAE64}"/>
  <bookViews>
    <workbookView xWindow="-108" yWindow="-108" windowWidth="23256" windowHeight="12456" xr2:uid="{00000000-000D-0000-FFFF-FFFF00000000}"/>
  </bookViews>
  <sheets>
    <sheet name="Hawaii Forest &amp; Trail (IES)" sheetId="1" r:id="rId1"/>
    <sheet name="Hawaii_Failed_BillPayment" sheetId="4" r:id="rId2"/>
    <sheet name="Kohala Zip Line IES" sheetId="2" r:id="rId3"/>
    <sheet name="Kohala_Failed_BillPayment_Bills" sheetId="3" r:id="rId4"/>
  </sheets>
  <definedNames>
    <definedName name="_xlnm._FilterDatabase" localSheetId="0" hidden="1">'Hawaii Forest &amp; Trail (IES)'!$B$1:$C$1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" l="1"/>
  <c r="F30" i="2"/>
  <c r="F31" i="2"/>
  <c r="F32" i="2"/>
  <c r="F33" i="2"/>
  <c r="F34" i="2"/>
  <c r="F35" i="2"/>
  <c r="F36" i="2"/>
  <c r="F37" i="2"/>
  <c r="F38" i="2"/>
  <c r="F39" i="2"/>
  <c r="F40" i="2"/>
  <c r="F28" i="2"/>
  <c r="F28" i="1"/>
  <c r="F29" i="1"/>
  <c r="F30" i="1"/>
  <c r="F31" i="1"/>
  <c r="F32" i="1"/>
  <c r="F33" i="1"/>
  <c r="F34" i="1"/>
  <c r="F35" i="1"/>
  <c r="F36" i="1"/>
  <c r="F37" i="1"/>
  <c r="F38" i="1"/>
  <c r="F39" i="1"/>
  <c r="F27" i="1"/>
  <c r="F12" i="2"/>
  <c r="F13" i="2"/>
  <c r="F14" i="2"/>
  <c r="F13" i="1"/>
  <c r="F14" i="1"/>
  <c r="F15" i="1"/>
  <c r="F16" i="1"/>
  <c r="F17" i="1"/>
  <c r="F18" i="1"/>
  <c r="F19" i="1"/>
  <c r="F20" i="1"/>
  <c r="F21" i="1"/>
  <c r="F22" i="1"/>
  <c r="F23" i="1"/>
  <c r="F24" i="1"/>
  <c r="F12" i="1"/>
  <c r="F11" i="1"/>
  <c r="F9" i="2"/>
  <c r="F8" i="2"/>
  <c r="F3" i="2"/>
  <c r="F5" i="2"/>
  <c r="F7" i="2"/>
  <c r="F11" i="2"/>
  <c r="F15" i="2"/>
  <c r="F16" i="2"/>
  <c r="F17" i="2"/>
  <c r="F18" i="2"/>
  <c r="F19" i="2"/>
  <c r="F20" i="2"/>
  <c r="F21" i="2"/>
  <c r="F22" i="2"/>
  <c r="F23" i="2"/>
  <c r="F24" i="2"/>
  <c r="F2" i="2"/>
  <c r="F7" i="1"/>
  <c r="A12" i="1"/>
  <c r="A13" i="1"/>
  <c r="A14" i="1"/>
  <c r="A15" i="1"/>
  <c r="A16" i="1"/>
  <c r="A17" i="1"/>
  <c r="A18" i="1"/>
  <c r="A19" i="1"/>
  <c r="A20" i="1"/>
  <c r="A21" i="1"/>
  <c r="A22" i="1" s="1"/>
  <c r="A23" i="1" s="1"/>
  <c r="A11" i="1"/>
  <c r="F6" i="1"/>
  <c r="F9" i="1"/>
</calcChain>
</file>

<file path=xl/sharedStrings.xml><?xml version="1.0" encoding="utf-8"?>
<sst xmlns="http://schemas.openxmlformats.org/spreadsheetml/2006/main" count="1736" uniqueCount="345">
  <si>
    <t>Table Name</t>
  </si>
  <si>
    <t>Migration Status</t>
  </si>
  <si>
    <t>PaymentMethod</t>
  </si>
  <si>
    <t>Source Row Count</t>
  </si>
  <si>
    <t xml:space="preserve">Already Exists in Target Instance </t>
  </si>
  <si>
    <t>Completed</t>
  </si>
  <si>
    <t>Migrated Data Count</t>
  </si>
  <si>
    <t>Sr No</t>
  </si>
  <si>
    <t>Term</t>
  </si>
  <si>
    <t>Pending</t>
  </si>
  <si>
    <t>currency</t>
  </si>
  <si>
    <t>NA</t>
  </si>
  <si>
    <t>Class</t>
  </si>
  <si>
    <t>Department</t>
  </si>
  <si>
    <t>Account</t>
  </si>
  <si>
    <t>Failed Records</t>
  </si>
  <si>
    <t>Item</t>
  </si>
  <si>
    <t>Item_category</t>
  </si>
  <si>
    <t>Item_Group</t>
  </si>
  <si>
    <t>-</t>
  </si>
  <si>
    <t>Notes</t>
  </si>
  <si>
    <t>Updated Intercompany to Intercompany Loans as there are same (account number is also same)</t>
  </si>
  <si>
    <t>Vendor</t>
  </si>
  <si>
    <t>Customer</t>
  </si>
  <si>
    <t>Employee</t>
  </si>
  <si>
    <t>Can not create category, 5 delete category as we are migrating without category and group as they are already deleted in source</t>
  </si>
  <si>
    <t>Estimate</t>
  </si>
  <si>
    <t>Bill</t>
  </si>
  <si>
    <t>Purchase</t>
  </si>
  <si>
    <t>This is voided with 0 amount so financially no impact and there are no line items</t>
  </si>
  <si>
    <t>vendorcredit</t>
  </si>
  <si>
    <t xml:space="preserve">Invoice </t>
  </si>
  <si>
    <t>CreditMemo</t>
  </si>
  <si>
    <t>SalesReceipt</t>
  </si>
  <si>
    <t>JournalEntry</t>
  </si>
  <si>
    <t>Vendorcredit</t>
  </si>
  <si>
    <t>Invoice</t>
  </si>
  <si>
    <t>Creditmemo</t>
  </si>
  <si>
    <t>Salesreceipt</t>
  </si>
  <si>
    <t>Journalentry</t>
  </si>
  <si>
    <t>Payment</t>
  </si>
  <si>
    <t>Transfer</t>
  </si>
  <si>
    <t>Deposit</t>
  </si>
  <si>
    <t>Refundreceipt</t>
  </si>
  <si>
    <t>Billpayment</t>
  </si>
  <si>
    <t xml:space="preserve">There are records relared to reimburse removed from source </t>
  </si>
  <si>
    <t>There are no records in kohala department</t>
  </si>
  <si>
    <t>🧹 SQL cache cleared.
2025-11-12 21:23:15,828 - INFO - 🔧 Generating JSON payloads for deposits...
2025-11-12 21:23:21,716 - WARNING - Deposit line LinkedTxn mapping missing for type=Payment, src_id=38310 (Parent Source_Id=40268)
2025-11-12 21:23:31,377 - WARNING - Deposit line LinkedTxn mapping missing for type=Transfer, src_id=1521040019 (Parent Source_Id=45159)
2025-11-12 21:23:32,474 - WARNING - Deposit line LinkedTxn mapping missing for type=Payment, src_id=45326 (Parent Source_Id=45699)
2025-11-12 21:23:32,475 - WARNING - Deposit line LinkedTxn mapping missing for type=Payment, src_id=45689 (Parent Source_Id=45699)
2025-11-12 21:23:32,475 - WARNING - Deposit line LinkedTxn mapping missing for type=Transfer, src_id=1521040020 (Parent Source_Id=45699)
2025-11-12 21:23:34,361 - WARNING - Deposit line LinkedTxn mapping missing for type=Payment, src_id=46830 (Parent Source_Id=46832)
2025-11-12 21:23:34,787 - INFO - ✅ Processed 500 payloads in this batch.
2025-11-12 21:23:40,941 - INFO - ✅ Processed 154 payloads in this batch.
2025-11-12 21:23:40,959 - INFO - ✅ All deposit JSON payloads have been generated.
2025-11-12 21:23:41,300 - INFO - 📤 Posting 654 Deposit(s) via QBO Batch API (limit 10/call)...</t>
  </si>
  <si>
    <t>No records</t>
  </si>
  <si>
    <t>There are records which are before migration</t>
  </si>
  <si>
    <t>DueDate</t>
  </si>
  <si>
    <t>VendorAddr.Id</t>
  </si>
  <si>
    <t>VendorAddr.Line1</t>
  </si>
  <si>
    <t>VendorAddr.City</t>
  </si>
  <si>
    <t>VendorAddr.CountrySubDivisionCode</t>
  </si>
  <si>
    <t>VendorAddr.PostalCode</t>
  </si>
  <si>
    <t>Balance</t>
  </si>
  <si>
    <t>domain</t>
  </si>
  <si>
    <t>sparse</t>
  </si>
  <si>
    <t>Id</t>
  </si>
  <si>
    <t>SyncToken</t>
  </si>
  <si>
    <t>MetaData.CreateTime</t>
  </si>
  <si>
    <t>MetaData.LastModifiedByRef.value</t>
  </si>
  <si>
    <t>MetaData.LastUpdatedTime</t>
  </si>
  <si>
    <t>DocNumber</t>
  </si>
  <si>
    <t>TxnDate</t>
  </si>
  <si>
    <t>CurrencyRef.value</t>
  </si>
  <si>
    <t>CurrencyRef.name</t>
  </si>
  <si>
    <t>VendorRef.value</t>
  </si>
  <si>
    <t>VendorRef.name</t>
  </si>
  <si>
    <t>APAccountRef.value</t>
  </si>
  <si>
    <t>APAccountRef.name</t>
  </si>
  <si>
    <t>TotalAmt</t>
  </si>
  <si>
    <t>VendorAddr.Line2</t>
  </si>
  <si>
    <t>SalesTermRef.value</t>
  </si>
  <si>
    <t>VendorAddr.Line3</t>
  </si>
  <si>
    <t>DepartmentRef.value</t>
  </si>
  <si>
    <t>DepartmentRef.name</t>
  </si>
  <si>
    <t>PrivateNote</t>
  </si>
  <si>
    <t>status</t>
  </si>
  <si>
    <t>VendorAddr.Line4</t>
  </si>
  <si>
    <t>VendorAddr.Line5</t>
  </si>
  <si>
    <t>RecurDataRef.value</t>
  </si>
  <si>
    <t>TxnSource</t>
  </si>
  <si>
    <t>David Muensterman</t>
  </si>
  <si>
    <t>[NULL]</t>
  </si>
  <si>
    <t>QBO</t>
  </si>
  <si>
    <t>2025-01-02T15:29:38-08:00</t>
  </si>
  <si>
    <t>2025-02-10T18:15:10-08:00</t>
  </si>
  <si>
    <t>USD</t>
  </si>
  <si>
    <t>United States Dollar</t>
  </si>
  <si>
    <t>KKona Concierge</t>
  </si>
  <si>
    <t>Accounts Payable</t>
  </si>
  <si>
    <t>Kona Concierge</t>
  </si>
  <si>
    <t>4M's LLC DBA Kona Concierge</t>
  </si>
  <si>
    <t>Kohala Zipline</t>
  </si>
  <si>
    <t>76-6263 Koko Olua Way</t>
  </si>
  <si>
    <t>Kailua Kona, HI  96740</t>
  </si>
  <si>
    <t>Love Hawaii Guide</t>
  </si>
  <si>
    <t>2025-01-02T15:30:27-08:00</t>
  </si>
  <si>
    <t>2025-03-17T17:35:56-07:00</t>
  </si>
  <si>
    <t>KLove Hawaii Guide{paid in FH}</t>
  </si>
  <si>
    <t>PO Box 913</t>
  </si>
  <si>
    <t>Volcano, HI  96785</t>
  </si>
  <si>
    <t>Hawaii Community Foundation</t>
  </si>
  <si>
    <t>2025-01-03T14:24:00-08:00</t>
  </si>
  <si>
    <t>2025-02-07T14:19:07-08:00</t>
  </si>
  <si>
    <t>KHawaii Community Foundation</t>
  </si>
  <si>
    <t>827 Fort Street Mall</t>
  </si>
  <si>
    <t>Honolulu, HI  96813-4317</t>
  </si>
  <si>
    <t>PO Box 2662</t>
  </si>
  <si>
    <t>Kamuela</t>
  </si>
  <si>
    <t>HI</t>
  </si>
  <si>
    <t>96743-2662</t>
  </si>
  <si>
    <t>2025-02-04T16:15:11-08:00</t>
  </si>
  <si>
    <t>2025-03-07T18:51:08-08:00</t>
  </si>
  <si>
    <t>KIndependent Phone Services Inc.</t>
  </si>
  <si>
    <t>Peter Evanovich</t>
  </si>
  <si>
    <t>2025-02-04T16:15:16-08:00</t>
  </si>
  <si>
    <t>2025-02-18T16:36:18-08:00</t>
  </si>
  <si>
    <t>KHo'okipa Ranch LLC</t>
  </si>
  <si>
    <t>PO Box 6179</t>
  </si>
  <si>
    <t>Hawaii Petroleum</t>
  </si>
  <si>
    <t>2025-02-07T14:27:32-08:00</t>
  </si>
  <si>
    <t>CL87485</t>
  </si>
  <si>
    <t>KHawaii Petroleum</t>
  </si>
  <si>
    <t>385 Hukilike St. Ste 101</t>
  </si>
  <si>
    <t>Kahului, HI  96732</t>
  </si>
  <si>
    <t>74-5035B Queen Kaahumanu Hwy</t>
  </si>
  <si>
    <t>Kailua Kona</t>
  </si>
  <si>
    <t>2025-02-04T16:15:17-08:00</t>
  </si>
  <si>
    <t>2025-02-18T16:36:19-08:00</t>
  </si>
  <si>
    <t>KHawaii Forest &amp; Trail</t>
  </si>
  <si>
    <t>Hawaii Department of Taxation</t>
  </si>
  <si>
    <t>Honolulu</t>
  </si>
  <si>
    <t>96806-1425</t>
  </si>
  <si>
    <t>5AD0A</t>
  </si>
  <si>
    <t>KHawaii State Tax Collector</t>
  </si>
  <si>
    <t>PO Box 1425</t>
  </si>
  <si>
    <t>2024 Landowner Audit</t>
  </si>
  <si>
    <t>Surety Kohala Corp</t>
  </si>
  <si>
    <t>2025-02-07T14:55:04-08:00</t>
  </si>
  <si>
    <t>KSurety Kohala Corp</t>
  </si>
  <si>
    <t>PO Box 249</t>
  </si>
  <si>
    <t>Hawi, HI  96719</t>
  </si>
  <si>
    <t>December 2024 Admin Fees</t>
  </si>
  <si>
    <t>2025-02-07T14:54:05-08:00</t>
  </si>
  <si>
    <t xml:space="preserve">Billpayment header line </t>
  </si>
  <si>
    <t>PayType</t>
  </si>
  <si>
    <t>CheckPayment.PrintStatus</t>
  </si>
  <si>
    <t>CheckPayment.BankAccountRef.value</t>
  </si>
  <si>
    <t>CheckPayment.BankAccountRef.name</t>
  </si>
  <si>
    <t>CreditCardPayment.CCAccountRef.value</t>
  </si>
  <si>
    <t>CreditCardPayment.CCAccountRef.name</t>
  </si>
  <si>
    <t>Check</t>
  </si>
  <si>
    <t>NotSet</t>
  </si>
  <si>
    <t>2025-02-04T16:29:32-08:00</t>
  </si>
  <si>
    <t>2025-05-13T18:27:16-07:00</t>
  </si>
  <si>
    <t>KOZI Operating Account</t>
  </si>
  <si>
    <t>2025-02-04T16:29:33-08:00</t>
  </si>
  <si>
    <t>2025-03-07T18:51:17-08:00</t>
  </si>
  <si>
    <t>2025-02-04T16:29:34-08:00</t>
  </si>
  <si>
    <t>2025-02-04T16:29:35-08:00</t>
  </si>
  <si>
    <t>2025-05-13T18:30:20-07:00</t>
  </si>
  <si>
    <t>PrintComplete</t>
  </si>
  <si>
    <t>2025-02-07T14:19:33-08:00</t>
  </si>
  <si>
    <t>2025-02-07T15:05:10-08:00</t>
  </si>
  <si>
    <t>2025-05-13T18:29:02-07:00</t>
  </si>
  <si>
    <t>online</t>
  </si>
  <si>
    <t>2025-02-07T15:15:32-08:00</t>
  </si>
  <si>
    <t>2025-05-13T18:21:49-07:00</t>
  </si>
  <si>
    <t>2025-02-10T18:10:57-08:00</t>
  </si>
  <si>
    <t>Online</t>
  </si>
  <si>
    <t>2025-02-10T18:16:10-08:00</t>
  </si>
  <si>
    <t>Header</t>
  </si>
  <si>
    <t>line</t>
  </si>
  <si>
    <t>Amount</t>
  </si>
  <si>
    <t>LinkedTxn[0].TxnId</t>
  </si>
  <si>
    <t>LinkedTxn[0].TxnType</t>
  </si>
  <si>
    <t>Parent_Id</t>
  </si>
  <si>
    <t>Parent_Entity</t>
  </si>
  <si>
    <t>BillPayment</t>
  </si>
  <si>
    <t>Mike Galvin</t>
  </si>
  <si>
    <t>2025-02-04T13:33:41-08:00</t>
  </si>
  <si>
    <t>2025-04-30T16:06:15-07:00</t>
  </si>
  <si>
    <t>HFT Operating Account</t>
  </si>
  <si>
    <t>Zion's Auto Detailing{p/u HFT}</t>
  </si>
  <si>
    <t>2025-02-04T13:34:04-08:00</t>
  </si>
  <si>
    <t>2025-04-30T16:05:58-07:00</t>
  </si>
  <si>
    <t>Heraldo Farrington</t>
  </si>
  <si>
    <t>2025-04-30T16:06:32-07:00</t>
  </si>
  <si>
    <t>HAWAII VOLCANOES NATIONAL PARK  {online}</t>
  </si>
  <si>
    <t>2025-02-04T13:34:05-08:00</t>
  </si>
  <si>
    <t>2025-04-30T16:04:29-07:00</t>
  </si>
  <si>
    <t>Center for Maunakea Stewardship</t>
  </si>
  <si>
    <t>2025-04-30T16:04:54-07:00</t>
  </si>
  <si>
    <t>2025-02-04T13:34:08-08:00</t>
  </si>
  <si>
    <t>2025-04-30T19:22:43-07:00</t>
  </si>
  <si>
    <t>Kamehameha Schools</t>
  </si>
  <si>
    <t>2025-04-30T15:59:24-07:00</t>
  </si>
  <si>
    <t>Aflac {online}</t>
  </si>
  <si>
    <t>2025-02-04T13:34:10-08:00</t>
  </si>
  <si>
    <t>2025-04-30T15:48:32-07:00</t>
  </si>
  <si>
    <t>2025-02-04T13:34:12-08:00</t>
  </si>
  <si>
    <t>2025-04-30T15:45:11-07:00</t>
  </si>
  <si>
    <t>2025-02-04T13:34:22-08:00</t>
  </si>
  <si>
    <t>2025-04-30T15:19:37-07:00</t>
  </si>
  <si>
    <t>Department of Water Supply {Hydrant}</t>
  </si>
  <si>
    <t>2025-04-30T15:46:17-07:00</t>
  </si>
  <si>
    <t>55008999-10</t>
  </si>
  <si>
    <t>Mahilani Partners LLC</t>
  </si>
  <si>
    <t>2025-02-04T13:34:13-08:00</t>
  </si>
  <si>
    <t>2025-04-30T15:41:19-07:00</t>
  </si>
  <si>
    <t>Surety Kohala Corporation</t>
  </si>
  <si>
    <t>2025-02-04T13:34:25-08:00</t>
  </si>
  <si>
    <t>2025-04-30T15:13:02-07:00</t>
  </si>
  <si>
    <t>Activity Authority{paid in FH}</t>
  </si>
  <si>
    <t>2025-02-05T13:18:46-08:00</t>
  </si>
  <si>
    <t>FH12425AA</t>
  </si>
  <si>
    <t>Body Glove Hawaii{paid in FH}</t>
  </si>
  <si>
    <t>2025-02-05T13:33:13-08:00</t>
  </si>
  <si>
    <t>FH12425B</t>
  </si>
  <si>
    <t>RHawaii Forest &amp; Trail</t>
  </si>
  <si>
    <t>2025-02-05T14:23:32-08:00</t>
  </si>
  <si>
    <t>2025-02-06T13:06:57-08:00</t>
  </si>
  <si>
    <t>Retail Operating Account</t>
  </si>
  <si>
    <t>Hadal{paid in FH}</t>
  </si>
  <si>
    <t>2025-02-05T15:11:25-08:00</t>
  </si>
  <si>
    <t>FH12425H</t>
  </si>
  <si>
    <t>Hawaii State Tax Collector *</t>
  </si>
  <si>
    <t>2025-02-05T15:49:09-08:00</t>
  </si>
  <si>
    <t>2025-04-30T15:28:53-07:00</t>
  </si>
  <si>
    <t>2025-02-05T15:49:27-08:00</t>
  </si>
  <si>
    <t>2025-04-30T15:28:35-07:00</t>
  </si>
  <si>
    <t>Love Hawaii Guides Inc.{paid in FH}</t>
  </si>
  <si>
    <t>2025-02-05T17:38:46-08:00</t>
  </si>
  <si>
    <t>2025-02-18T13:58:51-08:00</t>
  </si>
  <si>
    <t>2025-03-14T19:04:08-07:00</t>
  </si>
  <si>
    <t>2025-03-14T19:04:55-07:00</t>
  </si>
  <si>
    <t>2025-03-28T18:54:09-07:00</t>
  </si>
  <si>
    <t>2025-03-31T17:23:25-07:00</t>
  </si>
  <si>
    <t>2025-04-25T12:38:02-07:00</t>
  </si>
  <si>
    <t>2025-04-25T12:38:41-07:00</t>
  </si>
  <si>
    <t>2025-05-14T15:01:58-07:00</t>
  </si>
  <si>
    <t>2025-10-16T16:56:32-07:00</t>
  </si>
  <si>
    <t>2025-06-19T16:48:45-07:00</t>
  </si>
  <si>
    <t>2025-06-19T16:49:03-07:00</t>
  </si>
  <si>
    <t>2025-07-02T15:48:36-07:00</t>
  </si>
  <si>
    <t>2025-07-02T15:48:51-07:00</t>
  </si>
  <si>
    <t>2025-08-11T17:16:49-07:00</t>
  </si>
  <si>
    <t>2025-08-11T17:29:06-07:00</t>
  </si>
  <si>
    <t>2025-09-04T17:02:50-07:00</t>
  </si>
  <si>
    <t>2025-09-04T17:03:15-07:00</t>
  </si>
  <si>
    <t>2025-09-11T15:33:00-07:00</t>
  </si>
  <si>
    <t>2025-09-11T16:23:21-07:00</t>
  </si>
  <si>
    <t>2025-10-16T16:57:12-07:00</t>
  </si>
  <si>
    <t>VendorCredit</t>
  </si>
  <si>
    <t>related bill</t>
  </si>
  <si>
    <t>PO Box 52</t>
  </si>
  <si>
    <t>HVNP</t>
  </si>
  <si>
    <t>96718-0052</t>
  </si>
  <si>
    <t>2023-12-31T00:00:00-08:00</t>
  </si>
  <si>
    <t>HV12312023HFT</t>
  </si>
  <si>
    <t>Hawaii Forest &amp; Trail</t>
  </si>
  <si>
    <t>2024-12-09T11:52:28-08:00</t>
  </si>
  <si>
    <t>2025-04-18T14:00:14-07:00</t>
  </si>
  <si>
    <t>Activity Authority.{Online}</t>
  </si>
  <si>
    <t>2025-01-02T13:54:13-08:00</t>
  </si>
  <si>
    <t>2025-04-16T15:11:07-07:00</t>
  </si>
  <si>
    <t>Activity Authority.</t>
  </si>
  <si>
    <t>PO Box 790510</t>
  </si>
  <si>
    <t>Paia, HI  96779</t>
  </si>
  <si>
    <t>Body Glove Hawaii{Online}</t>
  </si>
  <si>
    <t>2025-01-02T13:55:54-08:00</t>
  </si>
  <si>
    <t>2025-04-16T15:16:21-07:00</t>
  </si>
  <si>
    <t>Body Glove Hawaii</t>
  </si>
  <si>
    <t>75-5629 kuakini Highway</t>
  </si>
  <si>
    <t>Love Hawaii Guides Inc</t>
  </si>
  <si>
    <t>2025-01-02T13:59:13-08:00</t>
  </si>
  <si>
    <t>2025-04-16T19:33:42-07:00</t>
  </si>
  <si>
    <t>Love Hawaii Guides Inc.</t>
  </si>
  <si>
    <t>Hadal</t>
  </si>
  <si>
    <t>2025-01-02T14:07:32-08:00</t>
  </si>
  <si>
    <t>2025-04-16T16:16:55-07:00</t>
  </si>
  <si>
    <t>76-6194 Plumeria Rd.</t>
  </si>
  <si>
    <t>2025-02-04T12:55:38-08:00</t>
  </si>
  <si>
    <t>2025-04-16T19:42:31-07:00</t>
  </si>
  <si>
    <t>Aflac</t>
  </si>
  <si>
    <t>PO Box 952</t>
  </si>
  <si>
    <t>Volcano</t>
  </si>
  <si>
    <t>2025-02-04T12:55:44-08:00</t>
  </si>
  <si>
    <t>2025-04-16T16:43:20-07:00</t>
  </si>
  <si>
    <t>2025-02-04T12:55:45-08:00</t>
  </si>
  <si>
    <t>2025-04-16T16:31:41-07:00</t>
  </si>
  <si>
    <t>640 N. A'ohoku Place, Room 203</t>
  </si>
  <si>
    <t>Hilo</t>
  </si>
  <si>
    <t>2025-02-04T12:55:49-08:00</t>
  </si>
  <si>
    <t>2025-04-16T15:08:51-07:00</t>
  </si>
  <si>
    <t>2025-04-16T19:38:08-07:00</t>
  </si>
  <si>
    <t>P.O. BOX 249</t>
  </si>
  <si>
    <t>HAWI, HI  96719</t>
  </si>
  <si>
    <t>2025-04-16T19:36:02-07:00</t>
  </si>
  <si>
    <t>Zion Auto Detailing</t>
  </si>
  <si>
    <t>Kailua- Kona</t>
  </si>
  <si>
    <t>2025-04-16T19:38:48-07:00</t>
  </si>
  <si>
    <t>75-5938 Pamalo Pl</t>
  </si>
  <si>
    <t>96813-4317</t>
  </si>
  <si>
    <t>2025-04-16T16:18:05-07:00</t>
  </si>
  <si>
    <t>Kamehameha Schools.</t>
  </si>
  <si>
    <t>2025-02-04T12:55:50-08:00</t>
  </si>
  <si>
    <t>2025-04-16T19:02:49-07:00</t>
  </si>
  <si>
    <t>PO BOX 30680</t>
  </si>
  <si>
    <t>Honolulu, HI  96820-0680</t>
  </si>
  <si>
    <t>PO Box 275</t>
  </si>
  <si>
    <t>2025-02-04T12:55:51-08:00</t>
  </si>
  <si>
    <t>2025-04-16T19:35:19-07:00</t>
  </si>
  <si>
    <t>Department of Water Supply</t>
  </si>
  <si>
    <t>96820-0290</t>
  </si>
  <si>
    <t>2025-04-16T16:15:32-07:00</t>
  </si>
  <si>
    <t>19AF72</t>
  </si>
  <si>
    <t>County of Hawaii</t>
  </si>
  <si>
    <t>PO Box 30290</t>
  </si>
  <si>
    <t>STATE TAX COLLECTOR</t>
  </si>
  <si>
    <t>HONOLULU</t>
  </si>
  <si>
    <t>96806-1530</t>
  </si>
  <si>
    <t>2025-04-16T16:29:03-07:00</t>
  </si>
  <si>
    <t>19AF5F</t>
  </si>
  <si>
    <t>HAWAII DISTRICT OFFICE</t>
  </si>
  <si>
    <t>PO BOX 1530</t>
  </si>
  <si>
    <t>RV 22</t>
  </si>
  <si>
    <t>2025-04-16T16:28:39-07:00</t>
  </si>
  <si>
    <t>19AF54</t>
  </si>
  <si>
    <t>2025-04-16T19:19:42-07:00</t>
  </si>
  <si>
    <t>2025-04-16T19:19:09-07:00</t>
  </si>
  <si>
    <t>Correction for payment between HFT &amp; KOZI for EHawaii Payment #756249 which was billed and should have been invoiced</t>
  </si>
  <si>
    <t>2025-04-16T19:18:52-07:00</t>
  </si>
  <si>
    <t>2025-02-05T14:17:50-08:00</t>
  </si>
  <si>
    <t>2025-04-17T15:01:02-07:00</t>
  </si>
  <si>
    <t>Retail</t>
  </si>
  <si>
    <t>HAWAII VOLCANOES NATIONAL PARK</t>
  </si>
  <si>
    <t>2025-02-18T13:58:16-08:00</t>
  </si>
  <si>
    <t>HVNP, HI  96718-0052</t>
  </si>
  <si>
    <t>Can not migrate as location is not tagged. As discussed migrated where kozi coming migrated in kohala else all in here</t>
  </si>
  <si>
    <t>Can not migrate no location level filter present. Migrated where account ref name like kozi</t>
  </si>
  <si>
    <t>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</si>
</sst>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4" fillId="0" borderId="0" xfId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2" fillId="4" borderId="0" xfId="0" applyFont="1" applyFill="1"/>
    <xf numFmtId="0" fontId="5" fillId="4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pane ySplit="1" topLeftCell="A20" activePane="bottomLeft" state="frozen"/>
      <selection activeCell="C1" sqref="C1"/>
      <selection pane="bottomLeft" activeCell="F36" sqref="F36"/>
    </sheetView>
  </sheetViews>
  <sheetFormatPr defaultRowHeight="14.4" x14ac:dyDescent="0.3"/>
  <cols>
    <col min="1" max="1" width="7.21875" bestFit="1" customWidth="1"/>
    <col min="2" max="2" width="14.6640625" bestFit="1" customWidth="1"/>
    <col min="3" max="3" width="15" bestFit="1" customWidth="1"/>
    <col min="4" max="4" width="16.5546875" bestFit="1" customWidth="1"/>
    <col min="5" max="5" width="28.6640625" bestFit="1" customWidth="1"/>
    <col min="6" max="6" width="18.77734375" bestFit="1" customWidth="1"/>
    <col min="7" max="7" width="13.109375" bestFit="1" customWidth="1"/>
    <col min="8" max="8" width="13.33203125" bestFit="1" customWidth="1"/>
    <col min="9" max="9" width="11.109375" bestFit="1" customWidth="1"/>
    <col min="10" max="10" width="80.77734375" bestFit="1" customWidth="1"/>
  </cols>
  <sheetData>
    <row r="1" spans="1:10" x14ac:dyDescent="0.3">
      <c r="A1" s="1" t="s">
        <v>7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15</v>
      </c>
      <c r="H1" s="1" t="s">
        <v>17</v>
      </c>
      <c r="I1" s="1" t="s">
        <v>18</v>
      </c>
      <c r="J1" s="1" t="s">
        <v>20</v>
      </c>
    </row>
    <row r="2" spans="1:10" x14ac:dyDescent="0.3">
      <c r="A2">
        <v>1</v>
      </c>
      <c r="B2" t="s">
        <v>2</v>
      </c>
      <c r="C2" t="s">
        <v>5</v>
      </c>
      <c r="D2">
        <v>15</v>
      </c>
      <c r="E2">
        <v>9</v>
      </c>
      <c r="F2">
        <v>6</v>
      </c>
      <c r="G2">
        <v>0</v>
      </c>
      <c r="H2" t="s">
        <v>19</v>
      </c>
      <c r="I2" t="s">
        <v>19</v>
      </c>
    </row>
    <row r="3" spans="1:10" x14ac:dyDescent="0.3">
      <c r="A3">
        <v>2</v>
      </c>
      <c r="B3" t="s">
        <v>8</v>
      </c>
      <c r="C3" t="s">
        <v>5</v>
      </c>
      <c r="D3">
        <v>33</v>
      </c>
      <c r="E3">
        <v>12</v>
      </c>
      <c r="F3">
        <v>21</v>
      </c>
      <c r="G3">
        <v>0</v>
      </c>
      <c r="H3" t="s">
        <v>19</v>
      </c>
      <c r="I3" t="s">
        <v>19</v>
      </c>
    </row>
    <row r="4" spans="1:10" x14ac:dyDescent="0.3">
      <c r="A4">
        <v>3</v>
      </c>
      <c r="B4" t="s">
        <v>10</v>
      </c>
      <c r="C4" t="s">
        <v>11</v>
      </c>
      <c r="D4">
        <v>0</v>
      </c>
      <c r="E4">
        <v>0</v>
      </c>
      <c r="F4">
        <v>0</v>
      </c>
      <c r="G4">
        <v>0</v>
      </c>
      <c r="H4" t="s">
        <v>19</v>
      </c>
      <c r="I4" t="s">
        <v>19</v>
      </c>
    </row>
    <row r="5" spans="1:10" x14ac:dyDescent="0.3">
      <c r="A5">
        <v>4</v>
      </c>
      <c r="B5" t="s">
        <v>12</v>
      </c>
      <c r="C5" t="s">
        <v>5</v>
      </c>
      <c r="D5">
        <v>20</v>
      </c>
      <c r="E5">
        <v>4</v>
      </c>
      <c r="F5">
        <v>16</v>
      </c>
      <c r="G5">
        <v>0</v>
      </c>
      <c r="H5" t="s">
        <v>19</v>
      </c>
      <c r="I5" t="s">
        <v>19</v>
      </c>
    </row>
    <row r="6" spans="1:10" x14ac:dyDescent="0.3">
      <c r="A6">
        <v>5</v>
      </c>
      <c r="B6" t="s">
        <v>13</v>
      </c>
      <c r="C6" t="s">
        <v>5</v>
      </c>
      <c r="D6">
        <v>2</v>
      </c>
      <c r="E6">
        <v>1</v>
      </c>
      <c r="F6">
        <f>D6-E6</f>
        <v>1</v>
      </c>
      <c r="G6">
        <v>0</v>
      </c>
      <c r="H6" t="s">
        <v>19</v>
      </c>
      <c r="I6" t="s">
        <v>19</v>
      </c>
    </row>
    <row r="7" spans="1:10" x14ac:dyDescent="0.3">
      <c r="A7" s="2">
        <v>6</v>
      </c>
      <c r="B7" s="2" t="s">
        <v>14</v>
      </c>
      <c r="C7" s="2" t="s">
        <v>5</v>
      </c>
      <c r="D7" s="2">
        <v>255</v>
      </c>
      <c r="E7" s="2">
        <v>155</v>
      </c>
      <c r="F7" s="2">
        <f>D7-E7-G7</f>
        <v>99</v>
      </c>
      <c r="G7" s="2">
        <v>1</v>
      </c>
      <c r="H7" s="2" t="s">
        <v>19</v>
      </c>
      <c r="I7" s="2" t="s">
        <v>19</v>
      </c>
      <c r="J7" s="2" t="s">
        <v>21</v>
      </c>
    </row>
    <row r="8" spans="1:10" x14ac:dyDescent="0.3">
      <c r="A8">
        <v>7</v>
      </c>
      <c r="B8" t="s">
        <v>16</v>
      </c>
      <c r="C8" t="s">
        <v>5</v>
      </c>
      <c r="D8">
        <v>861</v>
      </c>
      <c r="E8">
        <v>59</v>
      </c>
      <c r="F8">
        <v>861</v>
      </c>
      <c r="G8">
        <v>4</v>
      </c>
      <c r="H8">
        <v>4</v>
      </c>
      <c r="I8">
        <v>1</v>
      </c>
      <c r="J8" t="s">
        <v>25</v>
      </c>
    </row>
    <row r="9" spans="1:10" x14ac:dyDescent="0.3">
      <c r="A9">
        <v>8</v>
      </c>
      <c r="B9" t="s">
        <v>22</v>
      </c>
      <c r="C9" t="s">
        <v>5</v>
      </c>
      <c r="D9">
        <v>994</v>
      </c>
      <c r="E9">
        <v>505</v>
      </c>
      <c r="F9">
        <f t="shared" ref="F9:F11" si="0">D9-E9</f>
        <v>489</v>
      </c>
      <c r="G9">
        <v>0</v>
      </c>
    </row>
    <row r="10" spans="1:10" x14ac:dyDescent="0.3">
      <c r="A10">
        <v>9</v>
      </c>
      <c r="B10" t="s">
        <v>23</v>
      </c>
      <c r="C10" t="s">
        <v>5</v>
      </c>
      <c r="D10">
        <v>328</v>
      </c>
      <c r="E10">
        <v>85</v>
      </c>
      <c r="F10">
        <v>218</v>
      </c>
      <c r="G10">
        <v>4</v>
      </c>
    </row>
    <row r="11" spans="1:10" x14ac:dyDescent="0.3">
      <c r="A11">
        <f>A10+1</f>
        <v>10</v>
      </c>
      <c r="B11" t="s">
        <v>24</v>
      </c>
      <c r="C11" t="s">
        <v>5</v>
      </c>
      <c r="D11">
        <v>1</v>
      </c>
      <c r="E11">
        <v>0</v>
      </c>
      <c r="F11">
        <f t="shared" si="0"/>
        <v>1</v>
      </c>
      <c r="G11">
        <v>0</v>
      </c>
    </row>
    <row r="12" spans="1:10" x14ac:dyDescent="0.3">
      <c r="A12">
        <f t="shared" ref="A12:A23" si="1">A11+1</f>
        <v>11</v>
      </c>
      <c r="B12" t="s">
        <v>26</v>
      </c>
      <c r="C12" t="s">
        <v>5</v>
      </c>
      <c r="D12">
        <v>21</v>
      </c>
      <c r="E12">
        <v>0</v>
      </c>
      <c r="F12">
        <f>D12-G12</f>
        <v>21</v>
      </c>
      <c r="G12">
        <v>0</v>
      </c>
    </row>
    <row r="13" spans="1:10" x14ac:dyDescent="0.3">
      <c r="A13">
        <f t="shared" si="1"/>
        <v>12</v>
      </c>
      <c r="B13" t="s">
        <v>27</v>
      </c>
      <c r="C13" t="s">
        <v>5</v>
      </c>
      <c r="D13">
        <v>1419</v>
      </c>
      <c r="E13">
        <v>0</v>
      </c>
      <c r="F13">
        <f t="shared" ref="F13:F24" si="2">D13-G13</f>
        <v>1419</v>
      </c>
      <c r="G13">
        <v>0</v>
      </c>
    </row>
    <row r="14" spans="1:10" x14ac:dyDescent="0.3">
      <c r="A14">
        <f t="shared" si="1"/>
        <v>13</v>
      </c>
      <c r="B14" t="s">
        <v>28</v>
      </c>
      <c r="C14" t="s">
        <v>5</v>
      </c>
      <c r="D14">
        <v>2090</v>
      </c>
      <c r="E14">
        <v>0</v>
      </c>
      <c r="F14">
        <f t="shared" si="2"/>
        <v>2089</v>
      </c>
      <c r="G14">
        <v>1</v>
      </c>
      <c r="J14" t="s">
        <v>29</v>
      </c>
    </row>
    <row r="15" spans="1:10" x14ac:dyDescent="0.3">
      <c r="A15">
        <f t="shared" si="1"/>
        <v>14</v>
      </c>
      <c r="B15" t="s">
        <v>30</v>
      </c>
      <c r="C15" t="s">
        <v>5</v>
      </c>
      <c r="D15">
        <v>14</v>
      </c>
      <c r="E15">
        <v>0</v>
      </c>
      <c r="F15">
        <f t="shared" si="2"/>
        <v>14</v>
      </c>
      <c r="G15">
        <v>0</v>
      </c>
    </row>
    <row r="16" spans="1:10" x14ac:dyDescent="0.3">
      <c r="A16">
        <f t="shared" si="1"/>
        <v>15</v>
      </c>
      <c r="B16" t="s">
        <v>31</v>
      </c>
      <c r="C16" t="s">
        <v>5</v>
      </c>
      <c r="D16">
        <v>683</v>
      </c>
      <c r="E16">
        <v>0</v>
      </c>
      <c r="F16">
        <f t="shared" si="2"/>
        <v>683</v>
      </c>
      <c r="G16">
        <v>0</v>
      </c>
    </row>
    <row r="17" spans="1:10" x14ac:dyDescent="0.3">
      <c r="A17">
        <f t="shared" si="1"/>
        <v>16</v>
      </c>
      <c r="B17" t="s">
        <v>32</v>
      </c>
      <c r="C17" t="s">
        <v>5</v>
      </c>
      <c r="D17">
        <v>2</v>
      </c>
      <c r="E17">
        <v>0</v>
      </c>
      <c r="F17">
        <f t="shared" si="2"/>
        <v>2</v>
      </c>
      <c r="G17">
        <v>0</v>
      </c>
    </row>
    <row r="18" spans="1:10" x14ac:dyDescent="0.3">
      <c r="A18">
        <f t="shared" si="1"/>
        <v>17</v>
      </c>
      <c r="B18" t="s">
        <v>33</v>
      </c>
      <c r="C18" t="s">
        <v>5</v>
      </c>
      <c r="D18">
        <v>2372</v>
      </c>
      <c r="E18">
        <v>0</v>
      </c>
      <c r="F18">
        <f t="shared" si="2"/>
        <v>2372</v>
      </c>
      <c r="G18">
        <v>0</v>
      </c>
    </row>
    <row r="19" spans="1:10" x14ac:dyDescent="0.3">
      <c r="A19">
        <f t="shared" si="1"/>
        <v>18</v>
      </c>
      <c r="B19" t="s">
        <v>34</v>
      </c>
      <c r="C19" t="s">
        <v>5</v>
      </c>
      <c r="D19">
        <v>610</v>
      </c>
      <c r="E19">
        <v>0</v>
      </c>
      <c r="F19">
        <f t="shared" si="2"/>
        <v>610</v>
      </c>
      <c r="G19">
        <v>0</v>
      </c>
    </row>
    <row r="20" spans="1:10" x14ac:dyDescent="0.3">
      <c r="A20" s="3">
        <f t="shared" si="1"/>
        <v>19</v>
      </c>
      <c r="B20" s="3" t="s">
        <v>40</v>
      </c>
      <c r="C20" s="3" t="s">
        <v>5</v>
      </c>
      <c r="D20" s="3">
        <v>636</v>
      </c>
      <c r="E20" s="3">
        <v>0</v>
      </c>
      <c r="F20" s="3">
        <f t="shared" si="2"/>
        <v>632</v>
      </c>
      <c r="G20" s="3">
        <v>4</v>
      </c>
      <c r="H20" s="3"/>
      <c r="I20" s="3"/>
      <c r="J20" s="3"/>
    </row>
    <row r="21" spans="1:10" x14ac:dyDescent="0.3">
      <c r="A21">
        <f t="shared" si="1"/>
        <v>20</v>
      </c>
      <c r="B21" t="s">
        <v>41</v>
      </c>
      <c r="C21" t="s">
        <v>5</v>
      </c>
      <c r="D21">
        <v>41</v>
      </c>
      <c r="E21">
        <v>0</v>
      </c>
      <c r="F21">
        <f t="shared" si="2"/>
        <v>41</v>
      </c>
      <c r="G21">
        <v>0</v>
      </c>
      <c r="J21" t="s">
        <v>342</v>
      </c>
    </row>
    <row r="22" spans="1:10" s="3" customFormat="1" x14ac:dyDescent="0.3">
      <c r="A22" s="3">
        <f t="shared" si="1"/>
        <v>21</v>
      </c>
      <c r="B22" s="3" t="s">
        <v>42</v>
      </c>
      <c r="C22" s="3" t="s">
        <v>5</v>
      </c>
      <c r="D22" s="3">
        <v>655</v>
      </c>
      <c r="E22" s="3">
        <v>0</v>
      </c>
      <c r="F22" s="3">
        <f t="shared" si="2"/>
        <v>650</v>
      </c>
      <c r="G22" s="3">
        <v>5</v>
      </c>
      <c r="J22" s="3" t="s">
        <v>47</v>
      </c>
    </row>
    <row r="23" spans="1:10" x14ac:dyDescent="0.3">
      <c r="A23">
        <f t="shared" si="1"/>
        <v>22</v>
      </c>
      <c r="B23" t="s">
        <v>43</v>
      </c>
      <c r="C23" t="s">
        <v>9</v>
      </c>
      <c r="D23">
        <v>1</v>
      </c>
      <c r="E23">
        <v>0</v>
      </c>
      <c r="F23">
        <f t="shared" si="2"/>
        <v>1</v>
      </c>
      <c r="G23">
        <v>0</v>
      </c>
    </row>
    <row r="24" spans="1:10" x14ac:dyDescent="0.3">
      <c r="A24">
        <v>23</v>
      </c>
      <c r="B24" t="s">
        <v>44</v>
      </c>
      <c r="C24" t="s">
        <v>5</v>
      </c>
      <c r="D24">
        <v>994</v>
      </c>
      <c r="E24">
        <v>0</v>
      </c>
      <c r="F24">
        <f t="shared" si="2"/>
        <v>963</v>
      </c>
      <c r="G24">
        <v>31</v>
      </c>
    </row>
    <row r="25" spans="1:10" ht="19.8" x14ac:dyDescent="0.4">
      <c r="B25" s="4"/>
    </row>
    <row r="26" spans="1:10" x14ac:dyDescent="0.3">
      <c r="A26" s="8" t="s">
        <v>344</v>
      </c>
      <c r="B26" s="9"/>
      <c r="C26" s="9"/>
      <c r="D26" s="9"/>
      <c r="E26" s="9"/>
      <c r="F26" s="9"/>
      <c r="G26" s="9"/>
      <c r="H26" s="9"/>
      <c r="I26" s="9"/>
      <c r="J26" s="9"/>
    </row>
    <row r="27" spans="1:10" x14ac:dyDescent="0.3">
      <c r="A27">
        <v>1</v>
      </c>
      <c r="B27" t="s">
        <v>26</v>
      </c>
      <c r="C27" t="s">
        <v>5</v>
      </c>
      <c r="D27">
        <v>2</v>
      </c>
      <c r="E27">
        <v>0</v>
      </c>
      <c r="F27">
        <f>D27-E27-G27</f>
        <v>2</v>
      </c>
      <c r="G27">
        <v>0</v>
      </c>
    </row>
    <row r="28" spans="1:10" x14ac:dyDescent="0.3">
      <c r="A28">
        <v>2</v>
      </c>
      <c r="B28" t="s">
        <v>27</v>
      </c>
      <c r="C28" t="s">
        <v>5</v>
      </c>
      <c r="D28">
        <v>25</v>
      </c>
      <c r="E28">
        <v>0</v>
      </c>
      <c r="F28">
        <f t="shared" ref="F28:F39" si="3">D28-E28-G28</f>
        <v>25</v>
      </c>
      <c r="G28">
        <v>0</v>
      </c>
    </row>
    <row r="29" spans="1:10" x14ac:dyDescent="0.3">
      <c r="A29">
        <v>3</v>
      </c>
      <c r="B29" t="s">
        <v>28</v>
      </c>
      <c r="C29" t="s">
        <v>5</v>
      </c>
      <c r="D29">
        <v>29</v>
      </c>
      <c r="E29">
        <v>0</v>
      </c>
      <c r="F29">
        <f t="shared" si="3"/>
        <v>29</v>
      </c>
      <c r="G29">
        <v>0</v>
      </c>
    </row>
    <row r="30" spans="1:10" x14ac:dyDescent="0.3">
      <c r="A30">
        <v>4</v>
      </c>
      <c r="B30" t="s">
        <v>30</v>
      </c>
      <c r="C30" t="s">
        <v>11</v>
      </c>
      <c r="D30">
        <v>0</v>
      </c>
      <c r="E30">
        <v>0</v>
      </c>
      <c r="F30">
        <f t="shared" si="3"/>
        <v>0</v>
      </c>
      <c r="G30">
        <v>0</v>
      </c>
    </row>
    <row r="31" spans="1:10" x14ac:dyDescent="0.3">
      <c r="A31">
        <v>5</v>
      </c>
      <c r="B31" s="10" t="s">
        <v>31</v>
      </c>
      <c r="C31" s="10" t="s">
        <v>5</v>
      </c>
      <c r="D31" s="10">
        <v>25</v>
      </c>
      <c r="E31" s="10">
        <v>0</v>
      </c>
      <c r="F31" s="10">
        <f t="shared" si="3"/>
        <v>23</v>
      </c>
      <c r="G31" s="10">
        <v>2</v>
      </c>
    </row>
    <row r="32" spans="1:10" x14ac:dyDescent="0.3">
      <c r="A32">
        <v>6</v>
      </c>
      <c r="B32" t="s">
        <v>32</v>
      </c>
      <c r="C32" t="s">
        <v>11</v>
      </c>
      <c r="D32">
        <v>0</v>
      </c>
      <c r="E32">
        <v>0</v>
      </c>
      <c r="F32">
        <f t="shared" si="3"/>
        <v>0</v>
      </c>
      <c r="G32">
        <v>0</v>
      </c>
    </row>
    <row r="33" spans="1:7" x14ac:dyDescent="0.3">
      <c r="A33">
        <v>7</v>
      </c>
      <c r="B33" t="s">
        <v>33</v>
      </c>
      <c r="C33" t="s">
        <v>5</v>
      </c>
      <c r="D33">
        <v>44</v>
      </c>
      <c r="E33">
        <v>0</v>
      </c>
      <c r="F33">
        <f t="shared" si="3"/>
        <v>44</v>
      </c>
      <c r="G33">
        <v>0</v>
      </c>
    </row>
    <row r="34" spans="1:7" x14ac:dyDescent="0.3">
      <c r="A34" s="11">
        <v>8</v>
      </c>
      <c r="B34" s="11" t="s">
        <v>34</v>
      </c>
      <c r="C34" s="11" t="s">
        <v>5</v>
      </c>
      <c r="D34" s="11">
        <v>68</v>
      </c>
      <c r="E34" s="11">
        <v>0</v>
      </c>
      <c r="F34" s="11">
        <f t="shared" si="3"/>
        <v>68</v>
      </c>
      <c r="G34" s="11">
        <v>0</v>
      </c>
    </row>
    <row r="35" spans="1:7" x14ac:dyDescent="0.3">
      <c r="A35">
        <v>9</v>
      </c>
      <c r="B35" t="s">
        <v>40</v>
      </c>
      <c r="C35" t="s">
        <v>5</v>
      </c>
      <c r="D35">
        <v>20</v>
      </c>
      <c r="E35">
        <v>0</v>
      </c>
      <c r="F35">
        <f t="shared" si="3"/>
        <v>20</v>
      </c>
      <c r="G35">
        <v>0</v>
      </c>
    </row>
    <row r="36" spans="1:7" x14ac:dyDescent="0.3">
      <c r="A36">
        <v>10</v>
      </c>
      <c r="B36" t="s">
        <v>41</v>
      </c>
      <c r="C36" t="s">
        <v>11</v>
      </c>
      <c r="D36">
        <v>0</v>
      </c>
      <c r="E36">
        <v>0</v>
      </c>
      <c r="F36">
        <f t="shared" si="3"/>
        <v>0</v>
      </c>
      <c r="G36">
        <v>0</v>
      </c>
    </row>
    <row r="37" spans="1:7" x14ac:dyDescent="0.3">
      <c r="A37">
        <v>11</v>
      </c>
      <c r="B37" t="s">
        <v>42</v>
      </c>
      <c r="C37" t="s">
        <v>5</v>
      </c>
      <c r="D37">
        <v>33</v>
      </c>
      <c r="E37">
        <v>0</v>
      </c>
      <c r="F37">
        <f t="shared" si="3"/>
        <v>33</v>
      </c>
      <c r="G37">
        <v>0</v>
      </c>
    </row>
    <row r="38" spans="1:7" x14ac:dyDescent="0.3">
      <c r="A38">
        <v>12</v>
      </c>
      <c r="B38" t="s">
        <v>43</v>
      </c>
      <c r="C38" t="s">
        <v>11</v>
      </c>
      <c r="D38">
        <v>0</v>
      </c>
      <c r="E38">
        <v>0</v>
      </c>
      <c r="F38">
        <f t="shared" si="3"/>
        <v>0</v>
      </c>
      <c r="G38">
        <v>0</v>
      </c>
    </row>
    <row r="39" spans="1:7" x14ac:dyDescent="0.3">
      <c r="A39">
        <v>13</v>
      </c>
      <c r="B39" t="s">
        <v>44</v>
      </c>
      <c r="C39" t="s">
        <v>5</v>
      </c>
      <c r="D39">
        <v>21</v>
      </c>
      <c r="E39">
        <v>0</v>
      </c>
      <c r="F39">
        <f t="shared" si="3"/>
        <v>21</v>
      </c>
      <c r="G39">
        <v>0</v>
      </c>
    </row>
  </sheetData>
  <dataValidations count="1">
    <dataValidation type="list" allowBlank="1" showInputMessage="1" showErrorMessage="1" sqref="C1:C25 C27:C1048576" xr:uid="{99AA452C-C8B1-45EA-A340-4449531578F0}">
      <formula1>"Completed, Pending, NA"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6FF9-2228-47B9-83CF-7B34264AC772}">
  <dimension ref="A1:AH114"/>
  <sheetViews>
    <sheetView workbookViewId="0"/>
  </sheetViews>
  <sheetFormatPr defaultRowHeight="14.4" x14ac:dyDescent="0.3"/>
  <sheetData>
    <row r="1" spans="1:21" x14ac:dyDescent="0.3">
      <c r="A1" t="s">
        <v>68</v>
      </c>
      <c r="B1" t="s">
        <v>69</v>
      </c>
      <c r="C1" t="s">
        <v>148</v>
      </c>
      <c r="D1" t="s">
        <v>149</v>
      </c>
      <c r="E1" t="s">
        <v>72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63</v>
      </c>
      <c r="L1" t="s">
        <v>65</v>
      </c>
      <c r="M1" t="s">
        <v>66</v>
      </c>
      <c r="N1" t="s">
        <v>67</v>
      </c>
      <c r="O1" t="s">
        <v>150</v>
      </c>
      <c r="P1" t="s">
        <v>151</v>
      </c>
      <c r="Q1" t="s">
        <v>64</v>
      </c>
      <c r="R1" t="s">
        <v>76</v>
      </c>
      <c r="S1" t="s">
        <v>78</v>
      </c>
      <c r="T1" t="s">
        <v>152</v>
      </c>
      <c r="U1" t="s">
        <v>153</v>
      </c>
    </row>
    <row r="2" spans="1:21" x14ac:dyDescent="0.3">
      <c r="A2">
        <v>600</v>
      </c>
      <c r="B2" t="s">
        <v>182</v>
      </c>
      <c r="C2" t="s">
        <v>154</v>
      </c>
      <c r="D2" t="s">
        <v>155</v>
      </c>
      <c r="E2">
        <v>131.32</v>
      </c>
      <c r="F2" t="s">
        <v>86</v>
      </c>
      <c r="G2" t="b">
        <v>0</v>
      </c>
      <c r="H2">
        <v>35451</v>
      </c>
      <c r="I2">
        <v>3</v>
      </c>
      <c r="J2" t="s">
        <v>183</v>
      </c>
      <c r="K2" t="s">
        <v>184</v>
      </c>
      <c r="L2" s="5">
        <v>45664</v>
      </c>
      <c r="M2" t="s">
        <v>89</v>
      </c>
      <c r="N2" t="s">
        <v>90</v>
      </c>
      <c r="O2">
        <v>125</v>
      </c>
      <c r="P2" t="s">
        <v>185</v>
      </c>
      <c r="Q2">
        <v>21740</v>
      </c>
      <c r="R2">
        <v>1</v>
      </c>
      <c r="S2" t="s">
        <v>85</v>
      </c>
      <c r="T2" t="s">
        <v>85</v>
      </c>
      <c r="U2" t="s">
        <v>85</v>
      </c>
    </row>
    <row r="3" spans="1:21" x14ac:dyDescent="0.3">
      <c r="A3">
        <v>756</v>
      </c>
      <c r="B3" t="s">
        <v>186</v>
      </c>
      <c r="C3" t="s">
        <v>154</v>
      </c>
      <c r="D3" t="s">
        <v>155</v>
      </c>
      <c r="E3">
        <v>5500</v>
      </c>
      <c r="F3" t="s">
        <v>86</v>
      </c>
      <c r="G3" t="b">
        <v>0</v>
      </c>
      <c r="H3">
        <v>35498</v>
      </c>
      <c r="I3">
        <v>2</v>
      </c>
      <c r="J3" t="s">
        <v>187</v>
      </c>
      <c r="K3" t="s">
        <v>188</v>
      </c>
      <c r="L3" s="5">
        <v>45664</v>
      </c>
      <c r="M3" t="s">
        <v>89</v>
      </c>
      <c r="N3" t="s">
        <v>90</v>
      </c>
      <c r="O3">
        <v>125</v>
      </c>
      <c r="P3" t="s">
        <v>185</v>
      </c>
      <c r="Q3">
        <v>21736</v>
      </c>
      <c r="R3">
        <v>1</v>
      </c>
      <c r="S3" t="s">
        <v>85</v>
      </c>
      <c r="T3" t="s">
        <v>85</v>
      </c>
      <c r="U3" t="s">
        <v>85</v>
      </c>
    </row>
    <row r="4" spans="1:21" x14ac:dyDescent="0.3">
      <c r="A4">
        <v>1164</v>
      </c>
      <c r="B4" t="s">
        <v>189</v>
      </c>
      <c r="C4" t="s">
        <v>154</v>
      </c>
      <c r="D4" t="s">
        <v>155</v>
      </c>
      <c r="E4">
        <v>125</v>
      </c>
      <c r="F4" t="s">
        <v>86</v>
      </c>
      <c r="G4" t="b">
        <v>0</v>
      </c>
      <c r="H4">
        <v>35497</v>
      </c>
      <c r="I4">
        <v>2</v>
      </c>
      <c r="J4" t="s">
        <v>187</v>
      </c>
      <c r="K4" t="s">
        <v>190</v>
      </c>
      <c r="L4" s="5">
        <v>45663</v>
      </c>
      <c r="M4" t="s">
        <v>89</v>
      </c>
      <c r="N4" t="s">
        <v>90</v>
      </c>
      <c r="O4">
        <v>125</v>
      </c>
      <c r="P4" t="s">
        <v>185</v>
      </c>
      <c r="Q4">
        <v>21737</v>
      </c>
      <c r="R4">
        <v>1</v>
      </c>
      <c r="S4" t="s">
        <v>85</v>
      </c>
      <c r="T4" t="s">
        <v>85</v>
      </c>
      <c r="U4" t="s">
        <v>85</v>
      </c>
    </row>
    <row r="5" spans="1:21" x14ac:dyDescent="0.3">
      <c r="A5">
        <v>491</v>
      </c>
      <c r="B5" t="s">
        <v>191</v>
      </c>
      <c r="C5" t="s">
        <v>154</v>
      </c>
      <c r="D5" t="s">
        <v>155</v>
      </c>
      <c r="E5">
        <v>1060</v>
      </c>
      <c r="F5" t="s">
        <v>86</v>
      </c>
      <c r="G5" t="b">
        <v>0</v>
      </c>
      <c r="H5">
        <v>35502</v>
      </c>
      <c r="I5">
        <v>3</v>
      </c>
      <c r="J5" t="s">
        <v>192</v>
      </c>
      <c r="K5" t="s">
        <v>193</v>
      </c>
      <c r="L5" s="5">
        <v>45665</v>
      </c>
      <c r="M5" t="s">
        <v>89</v>
      </c>
      <c r="N5" t="s">
        <v>90</v>
      </c>
      <c r="O5">
        <v>125</v>
      </c>
      <c r="P5" t="s">
        <v>185</v>
      </c>
      <c r="Q5" t="s">
        <v>168</v>
      </c>
      <c r="R5">
        <v>1</v>
      </c>
      <c r="S5" t="s">
        <v>85</v>
      </c>
      <c r="T5" t="s">
        <v>85</v>
      </c>
      <c r="U5" t="s">
        <v>85</v>
      </c>
    </row>
    <row r="6" spans="1:21" x14ac:dyDescent="0.3">
      <c r="A6">
        <v>384</v>
      </c>
      <c r="B6" t="s">
        <v>194</v>
      </c>
      <c r="C6" t="s">
        <v>154</v>
      </c>
      <c r="D6" t="s">
        <v>155</v>
      </c>
      <c r="E6">
        <v>3708</v>
      </c>
      <c r="F6" t="s">
        <v>86</v>
      </c>
      <c r="G6" t="b">
        <v>0</v>
      </c>
      <c r="H6">
        <v>35501</v>
      </c>
      <c r="I6">
        <v>2</v>
      </c>
      <c r="J6" t="s">
        <v>192</v>
      </c>
      <c r="K6" t="s">
        <v>195</v>
      </c>
      <c r="L6" s="5">
        <v>45664</v>
      </c>
      <c r="M6" t="s">
        <v>89</v>
      </c>
      <c r="N6" t="s">
        <v>90</v>
      </c>
      <c r="O6">
        <v>125</v>
      </c>
      <c r="P6" t="s">
        <v>185</v>
      </c>
      <c r="Q6">
        <v>21742</v>
      </c>
      <c r="R6">
        <v>1</v>
      </c>
      <c r="S6" t="s">
        <v>85</v>
      </c>
      <c r="T6" t="s">
        <v>85</v>
      </c>
      <c r="U6" t="s">
        <v>85</v>
      </c>
    </row>
    <row r="7" spans="1:21" x14ac:dyDescent="0.3">
      <c r="A7">
        <v>547</v>
      </c>
      <c r="B7" t="s">
        <v>95</v>
      </c>
      <c r="C7" t="s">
        <v>154</v>
      </c>
      <c r="D7" t="s">
        <v>155</v>
      </c>
      <c r="E7">
        <v>469.64</v>
      </c>
      <c r="F7" t="s">
        <v>86</v>
      </c>
      <c r="G7" t="b">
        <v>0</v>
      </c>
      <c r="H7">
        <v>35509</v>
      </c>
      <c r="I7">
        <v>2</v>
      </c>
      <c r="J7" t="s">
        <v>196</v>
      </c>
      <c r="K7" t="s">
        <v>197</v>
      </c>
      <c r="L7" s="5">
        <v>45666</v>
      </c>
      <c r="M7" t="s">
        <v>89</v>
      </c>
      <c r="N7" t="s">
        <v>90</v>
      </c>
      <c r="O7">
        <v>125</v>
      </c>
      <c r="P7" t="s">
        <v>185</v>
      </c>
      <c r="Q7">
        <v>21749</v>
      </c>
      <c r="R7">
        <v>1</v>
      </c>
      <c r="S7" t="s">
        <v>85</v>
      </c>
      <c r="T7" t="s">
        <v>85</v>
      </c>
      <c r="U7" t="s">
        <v>85</v>
      </c>
    </row>
    <row r="8" spans="1:21" x14ac:dyDescent="0.3">
      <c r="A8">
        <v>540</v>
      </c>
      <c r="B8" t="s">
        <v>198</v>
      </c>
      <c r="C8" t="s">
        <v>154</v>
      </c>
      <c r="D8" t="s">
        <v>155</v>
      </c>
      <c r="E8">
        <v>4282.6499999999996</v>
      </c>
      <c r="F8" t="s">
        <v>86</v>
      </c>
      <c r="G8" t="b">
        <v>0</v>
      </c>
      <c r="H8">
        <v>35508</v>
      </c>
      <c r="I8">
        <v>2</v>
      </c>
      <c r="J8" t="s">
        <v>196</v>
      </c>
      <c r="K8" t="s">
        <v>199</v>
      </c>
      <c r="L8" s="5">
        <v>45666</v>
      </c>
      <c r="M8" t="s">
        <v>89</v>
      </c>
      <c r="N8" t="s">
        <v>90</v>
      </c>
      <c r="O8">
        <v>125</v>
      </c>
      <c r="P8" t="s">
        <v>185</v>
      </c>
      <c r="Q8">
        <v>21748</v>
      </c>
      <c r="R8">
        <v>1</v>
      </c>
      <c r="S8" t="s">
        <v>85</v>
      </c>
      <c r="T8" t="s">
        <v>85</v>
      </c>
      <c r="U8" t="s">
        <v>85</v>
      </c>
    </row>
    <row r="9" spans="1:21" x14ac:dyDescent="0.3">
      <c r="A9">
        <v>316</v>
      </c>
      <c r="B9" t="s">
        <v>200</v>
      </c>
      <c r="C9" t="s">
        <v>154</v>
      </c>
      <c r="D9" t="s">
        <v>155</v>
      </c>
      <c r="E9">
        <v>169.34</v>
      </c>
      <c r="F9" t="s">
        <v>86</v>
      </c>
      <c r="G9" t="b">
        <v>0</v>
      </c>
      <c r="H9">
        <v>35515</v>
      </c>
      <c r="I9">
        <v>2</v>
      </c>
      <c r="J9" t="s">
        <v>201</v>
      </c>
      <c r="K9" t="s">
        <v>202</v>
      </c>
      <c r="L9" s="5">
        <v>45672</v>
      </c>
      <c r="M9" t="s">
        <v>89</v>
      </c>
      <c r="N9" t="s">
        <v>90</v>
      </c>
      <c r="O9">
        <v>125</v>
      </c>
      <c r="P9" t="s">
        <v>185</v>
      </c>
      <c r="Q9" t="s">
        <v>168</v>
      </c>
      <c r="R9">
        <v>1</v>
      </c>
      <c r="S9" t="s">
        <v>85</v>
      </c>
      <c r="T9" t="s">
        <v>85</v>
      </c>
      <c r="U9" t="s">
        <v>85</v>
      </c>
    </row>
    <row r="10" spans="1:21" x14ac:dyDescent="0.3">
      <c r="A10">
        <v>474</v>
      </c>
      <c r="B10" t="s">
        <v>104</v>
      </c>
      <c r="C10" t="s">
        <v>154</v>
      </c>
      <c r="D10" t="s">
        <v>155</v>
      </c>
      <c r="E10">
        <v>1722</v>
      </c>
      <c r="F10" t="s">
        <v>86</v>
      </c>
      <c r="G10" t="b">
        <v>0</v>
      </c>
      <c r="H10">
        <v>35522</v>
      </c>
      <c r="I10">
        <v>4</v>
      </c>
      <c r="J10" t="s">
        <v>203</v>
      </c>
      <c r="K10" t="s">
        <v>204</v>
      </c>
      <c r="L10" s="5">
        <v>45674</v>
      </c>
      <c r="M10" t="s">
        <v>89</v>
      </c>
      <c r="N10" t="s">
        <v>90</v>
      </c>
      <c r="O10">
        <v>125</v>
      </c>
      <c r="P10" t="s">
        <v>185</v>
      </c>
      <c r="Q10">
        <v>21761</v>
      </c>
      <c r="R10">
        <v>1</v>
      </c>
      <c r="S10" t="s">
        <v>85</v>
      </c>
      <c r="T10" t="s">
        <v>85</v>
      </c>
      <c r="U10" t="s">
        <v>85</v>
      </c>
    </row>
    <row r="11" spans="1:21" x14ac:dyDescent="0.3">
      <c r="A11">
        <v>547</v>
      </c>
      <c r="B11" t="s">
        <v>95</v>
      </c>
      <c r="C11" t="s">
        <v>154</v>
      </c>
      <c r="D11" t="s">
        <v>155</v>
      </c>
      <c r="E11">
        <v>2157.7199999999998</v>
      </c>
      <c r="F11" t="s">
        <v>86</v>
      </c>
      <c r="G11" t="b">
        <v>0</v>
      </c>
      <c r="H11">
        <v>35543</v>
      </c>
      <c r="I11">
        <v>2</v>
      </c>
      <c r="J11" t="s">
        <v>205</v>
      </c>
      <c r="K11" t="s">
        <v>206</v>
      </c>
      <c r="L11" s="5">
        <v>45681</v>
      </c>
      <c r="M11" t="s">
        <v>89</v>
      </c>
      <c r="N11" t="s">
        <v>90</v>
      </c>
      <c r="O11">
        <v>125</v>
      </c>
      <c r="P11" t="s">
        <v>185</v>
      </c>
      <c r="Q11">
        <v>21789</v>
      </c>
      <c r="R11">
        <v>1</v>
      </c>
      <c r="S11" t="s">
        <v>85</v>
      </c>
      <c r="T11" t="s">
        <v>85</v>
      </c>
      <c r="U11" t="s">
        <v>85</v>
      </c>
    </row>
    <row r="12" spans="1:21" x14ac:dyDescent="0.3">
      <c r="A12">
        <v>424</v>
      </c>
      <c r="B12" t="s">
        <v>207</v>
      </c>
      <c r="C12" t="s">
        <v>154</v>
      </c>
      <c r="D12" t="s">
        <v>155</v>
      </c>
      <c r="E12">
        <v>88.28</v>
      </c>
      <c r="F12" t="s">
        <v>86</v>
      </c>
      <c r="G12" t="b">
        <v>0</v>
      </c>
      <c r="H12">
        <v>35520</v>
      </c>
      <c r="I12">
        <v>3</v>
      </c>
      <c r="J12" t="s">
        <v>203</v>
      </c>
      <c r="K12" t="s">
        <v>208</v>
      </c>
      <c r="L12" s="5">
        <v>45674</v>
      </c>
      <c r="M12" t="s">
        <v>89</v>
      </c>
      <c r="N12" t="s">
        <v>90</v>
      </c>
      <c r="O12">
        <v>125</v>
      </c>
      <c r="P12" t="s">
        <v>185</v>
      </c>
      <c r="Q12">
        <v>21759</v>
      </c>
      <c r="R12">
        <v>1</v>
      </c>
      <c r="S12" t="s">
        <v>209</v>
      </c>
      <c r="T12" t="s">
        <v>85</v>
      </c>
      <c r="U12" t="s">
        <v>85</v>
      </c>
    </row>
    <row r="13" spans="1:21" x14ac:dyDescent="0.3">
      <c r="A13">
        <v>1222</v>
      </c>
      <c r="B13" t="s">
        <v>210</v>
      </c>
      <c r="C13" t="s">
        <v>154</v>
      </c>
      <c r="D13" t="s">
        <v>155</v>
      </c>
      <c r="E13">
        <v>2862</v>
      </c>
      <c r="F13" t="s">
        <v>86</v>
      </c>
      <c r="G13" t="b">
        <v>0</v>
      </c>
      <c r="H13">
        <v>35525</v>
      </c>
      <c r="I13">
        <v>2</v>
      </c>
      <c r="J13" t="s">
        <v>211</v>
      </c>
      <c r="K13" t="s">
        <v>212</v>
      </c>
      <c r="L13" s="5">
        <v>45674</v>
      </c>
      <c r="M13" t="s">
        <v>89</v>
      </c>
      <c r="N13" t="s">
        <v>90</v>
      </c>
      <c r="O13">
        <v>125</v>
      </c>
      <c r="P13" t="s">
        <v>185</v>
      </c>
      <c r="Q13">
        <v>21764</v>
      </c>
      <c r="R13">
        <v>1</v>
      </c>
      <c r="S13" t="s">
        <v>85</v>
      </c>
      <c r="T13" t="s">
        <v>85</v>
      </c>
      <c r="U13" t="s">
        <v>85</v>
      </c>
    </row>
    <row r="14" spans="1:21" x14ac:dyDescent="0.3">
      <c r="A14">
        <v>697</v>
      </c>
      <c r="B14" t="s">
        <v>213</v>
      </c>
      <c r="C14" t="s">
        <v>154</v>
      </c>
      <c r="D14" t="s">
        <v>155</v>
      </c>
      <c r="E14">
        <v>5644.49</v>
      </c>
      <c r="F14" t="s">
        <v>86</v>
      </c>
      <c r="G14" t="b">
        <v>0</v>
      </c>
      <c r="H14">
        <v>35552</v>
      </c>
      <c r="I14">
        <v>2</v>
      </c>
      <c r="J14" t="s">
        <v>214</v>
      </c>
      <c r="K14" t="s">
        <v>215</v>
      </c>
      <c r="L14" s="5">
        <v>45681</v>
      </c>
      <c r="M14" t="s">
        <v>89</v>
      </c>
      <c r="N14" t="s">
        <v>90</v>
      </c>
      <c r="O14">
        <v>125</v>
      </c>
      <c r="P14" t="s">
        <v>185</v>
      </c>
      <c r="Q14">
        <v>21799</v>
      </c>
      <c r="R14">
        <v>1</v>
      </c>
      <c r="S14" t="s">
        <v>85</v>
      </c>
      <c r="T14" t="s">
        <v>85</v>
      </c>
      <c r="U14" t="s">
        <v>85</v>
      </c>
    </row>
    <row r="15" spans="1:21" x14ac:dyDescent="0.3">
      <c r="A15">
        <v>308</v>
      </c>
      <c r="B15" t="s">
        <v>216</v>
      </c>
      <c r="C15" t="s">
        <v>154</v>
      </c>
      <c r="D15" t="s">
        <v>155</v>
      </c>
      <c r="E15">
        <v>185.32</v>
      </c>
      <c r="F15" t="s">
        <v>86</v>
      </c>
      <c r="G15" t="b">
        <v>0</v>
      </c>
      <c r="H15">
        <v>36468</v>
      </c>
      <c r="I15">
        <v>0</v>
      </c>
      <c r="J15" t="s">
        <v>217</v>
      </c>
      <c r="K15" t="s">
        <v>217</v>
      </c>
      <c r="L15" s="5">
        <v>45681</v>
      </c>
      <c r="M15" t="s">
        <v>89</v>
      </c>
      <c r="N15" t="s">
        <v>90</v>
      </c>
      <c r="O15">
        <v>125</v>
      </c>
      <c r="P15" t="s">
        <v>185</v>
      </c>
      <c r="Q15" t="s">
        <v>218</v>
      </c>
      <c r="R15">
        <v>1</v>
      </c>
      <c r="S15" t="s">
        <v>85</v>
      </c>
      <c r="T15" t="s">
        <v>85</v>
      </c>
      <c r="U15" t="s">
        <v>85</v>
      </c>
    </row>
    <row r="16" spans="1:21" x14ac:dyDescent="0.3">
      <c r="A16">
        <v>369</v>
      </c>
      <c r="B16" t="s">
        <v>219</v>
      </c>
      <c r="C16" t="s">
        <v>154</v>
      </c>
      <c r="D16" t="s">
        <v>155</v>
      </c>
      <c r="E16">
        <v>463.38</v>
      </c>
      <c r="F16" t="s">
        <v>86</v>
      </c>
      <c r="G16" t="b">
        <v>0</v>
      </c>
      <c r="H16">
        <v>36471</v>
      </c>
      <c r="I16">
        <v>0</v>
      </c>
      <c r="J16" t="s">
        <v>220</v>
      </c>
      <c r="K16" t="s">
        <v>220</v>
      </c>
      <c r="L16" s="5">
        <v>45681</v>
      </c>
      <c r="M16" t="s">
        <v>89</v>
      </c>
      <c r="N16" t="s">
        <v>90</v>
      </c>
      <c r="O16">
        <v>125</v>
      </c>
      <c r="P16" t="s">
        <v>185</v>
      </c>
      <c r="Q16" t="s">
        <v>221</v>
      </c>
      <c r="R16">
        <v>1</v>
      </c>
      <c r="S16" t="s">
        <v>85</v>
      </c>
      <c r="T16" t="s">
        <v>85</v>
      </c>
      <c r="U16" t="s">
        <v>85</v>
      </c>
    </row>
    <row r="17" spans="1:21" x14ac:dyDescent="0.3">
      <c r="A17">
        <v>855</v>
      </c>
      <c r="B17" t="s">
        <v>222</v>
      </c>
      <c r="C17" t="s">
        <v>154</v>
      </c>
      <c r="D17" t="s">
        <v>155</v>
      </c>
      <c r="E17">
        <v>740.4</v>
      </c>
      <c r="F17" t="s">
        <v>86</v>
      </c>
      <c r="G17" t="b">
        <v>0</v>
      </c>
      <c r="H17">
        <v>36502</v>
      </c>
      <c r="I17">
        <v>1</v>
      </c>
      <c r="J17" t="s">
        <v>223</v>
      </c>
      <c r="K17" t="s">
        <v>224</v>
      </c>
      <c r="L17" s="5">
        <v>45674</v>
      </c>
      <c r="M17" t="s">
        <v>89</v>
      </c>
      <c r="N17" t="s">
        <v>90</v>
      </c>
      <c r="O17">
        <v>209</v>
      </c>
      <c r="P17" t="s">
        <v>225</v>
      </c>
      <c r="Q17">
        <v>2029</v>
      </c>
      <c r="R17">
        <v>3</v>
      </c>
      <c r="S17" t="s">
        <v>85</v>
      </c>
      <c r="T17" t="s">
        <v>85</v>
      </c>
      <c r="U17" t="s">
        <v>85</v>
      </c>
    </row>
    <row r="18" spans="1:21" x14ac:dyDescent="0.3">
      <c r="A18">
        <v>468</v>
      </c>
      <c r="B18" t="s">
        <v>226</v>
      </c>
      <c r="C18" t="s">
        <v>154</v>
      </c>
      <c r="D18" t="s">
        <v>155</v>
      </c>
      <c r="E18">
        <v>185.32</v>
      </c>
      <c r="F18" t="s">
        <v>86</v>
      </c>
      <c r="G18" t="b">
        <v>0</v>
      </c>
      <c r="H18">
        <v>36560</v>
      </c>
      <c r="I18">
        <v>0</v>
      </c>
      <c r="J18" t="s">
        <v>227</v>
      </c>
      <c r="K18" t="s">
        <v>227</v>
      </c>
      <c r="L18" s="5">
        <v>45681</v>
      </c>
      <c r="M18" t="s">
        <v>89</v>
      </c>
      <c r="N18" t="s">
        <v>90</v>
      </c>
      <c r="O18">
        <v>125</v>
      </c>
      <c r="P18" t="s">
        <v>185</v>
      </c>
      <c r="Q18" t="s">
        <v>228</v>
      </c>
      <c r="R18">
        <v>1</v>
      </c>
      <c r="S18" t="s">
        <v>85</v>
      </c>
      <c r="T18" t="s">
        <v>85</v>
      </c>
      <c r="U18" t="s">
        <v>85</v>
      </c>
    </row>
    <row r="19" spans="1:21" x14ac:dyDescent="0.3">
      <c r="A19">
        <v>488</v>
      </c>
      <c r="B19" t="s">
        <v>229</v>
      </c>
      <c r="C19" t="s">
        <v>154</v>
      </c>
      <c r="D19" t="s">
        <v>155</v>
      </c>
      <c r="E19">
        <v>352</v>
      </c>
      <c r="F19" t="s">
        <v>86</v>
      </c>
      <c r="G19" t="b">
        <v>0</v>
      </c>
      <c r="H19">
        <v>36568</v>
      </c>
      <c r="I19">
        <v>1</v>
      </c>
      <c r="J19" t="s">
        <v>230</v>
      </c>
      <c r="K19" t="s">
        <v>231</v>
      </c>
      <c r="L19" s="5">
        <v>45678</v>
      </c>
      <c r="M19" t="s">
        <v>89</v>
      </c>
      <c r="N19" t="s">
        <v>90</v>
      </c>
      <c r="O19">
        <v>125</v>
      </c>
      <c r="P19" t="s">
        <v>185</v>
      </c>
      <c r="Q19" t="s">
        <v>168</v>
      </c>
      <c r="R19">
        <v>1</v>
      </c>
      <c r="S19" t="s">
        <v>85</v>
      </c>
      <c r="T19" t="s">
        <v>85</v>
      </c>
      <c r="U19" t="s">
        <v>85</v>
      </c>
    </row>
    <row r="20" spans="1:21" x14ac:dyDescent="0.3">
      <c r="A20">
        <v>488</v>
      </c>
      <c r="B20" t="s">
        <v>229</v>
      </c>
      <c r="C20" t="s">
        <v>154</v>
      </c>
      <c r="D20" t="s">
        <v>155</v>
      </c>
      <c r="E20">
        <v>18403.71</v>
      </c>
      <c r="F20" t="s">
        <v>86</v>
      </c>
      <c r="G20" t="b">
        <v>0</v>
      </c>
      <c r="H20">
        <v>36569</v>
      </c>
      <c r="I20">
        <v>1</v>
      </c>
      <c r="J20" t="s">
        <v>232</v>
      </c>
      <c r="K20" t="s">
        <v>233</v>
      </c>
      <c r="L20" s="5">
        <v>45678</v>
      </c>
      <c r="M20" t="s">
        <v>89</v>
      </c>
      <c r="N20" t="s">
        <v>90</v>
      </c>
      <c r="O20">
        <v>125</v>
      </c>
      <c r="P20" t="s">
        <v>185</v>
      </c>
      <c r="Q20" t="s">
        <v>168</v>
      </c>
      <c r="R20">
        <v>1</v>
      </c>
      <c r="S20" t="s">
        <v>85</v>
      </c>
      <c r="T20" t="s">
        <v>85</v>
      </c>
      <c r="U20" t="s">
        <v>85</v>
      </c>
    </row>
    <row r="21" spans="1:21" x14ac:dyDescent="0.3">
      <c r="A21">
        <v>576</v>
      </c>
      <c r="B21" t="s">
        <v>234</v>
      </c>
      <c r="C21" t="s">
        <v>154</v>
      </c>
      <c r="D21" t="s">
        <v>155</v>
      </c>
      <c r="E21">
        <v>1031.44</v>
      </c>
      <c r="F21" t="s">
        <v>86</v>
      </c>
      <c r="G21" t="b">
        <v>0</v>
      </c>
      <c r="H21">
        <v>36576</v>
      </c>
      <c r="I21">
        <v>0</v>
      </c>
      <c r="J21" t="s">
        <v>235</v>
      </c>
      <c r="K21" t="s">
        <v>235</v>
      </c>
      <c r="L21" s="5">
        <v>45681</v>
      </c>
      <c r="M21" t="s">
        <v>89</v>
      </c>
      <c r="N21" t="s">
        <v>90</v>
      </c>
      <c r="O21">
        <v>125</v>
      </c>
      <c r="P21" t="s">
        <v>185</v>
      </c>
      <c r="Q21" t="s">
        <v>168</v>
      </c>
      <c r="R21">
        <v>1</v>
      </c>
      <c r="S21" t="s">
        <v>85</v>
      </c>
      <c r="T21" t="s">
        <v>85</v>
      </c>
      <c r="U21" t="s">
        <v>85</v>
      </c>
    </row>
    <row r="22" spans="1:21" x14ac:dyDescent="0.3">
      <c r="A22">
        <v>491</v>
      </c>
      <c r="B22" t="s">
        <v>191</v>
      </c>
      <c r="C22" t="s">
        <v>154</v>
      </c>
      <c r="D22" t="s">
        <v>155</v>
      </c>
      <c r="E22">
        <v>135</v>
      </c>
      <c r="F22" t="s">
        <v>86</v>
      </c>
      <c r="G22" t="b">
        <v>0</v>
      </c>
      <c r="H22">
        <v>37370</v>
      </c>
      <c r="I22">
        <v>0</v>
      </c>
      <c r="J22" t="s">
        <v>236</v>
      </c>
      <c r="K22" t="s">
        <v>236</v>
      </c>
      <c r="L22" s="5">
        <v>45689</v>
      </c>
      <c r="M22" t="s">
        <v>89</v>
      </c>
      <c r="N22" t="s">
        <v>90</v>
      </c>
      <c r="O22">
        <v>125</v>
      </c>
      <c r="P22" t="s">
        <v>185</v>
      </c>
      <c r="Q22" t="s">
        <v>168</v>
      </c>
      <c r="R22">
        <v>1</v>
      </c>
      <c r="S22" t="s">
        <v>85</v>
      </c>
      <c r="T22" t="s">
        <v>85</v>
      </c>
      <c r="U22" t="s">
        <v>85</v>
      </c>
    </row>
    <row r="23" spans="1:21" x14ac:dyDescent="0.3">
      <c r="A23">
        <v>547</v>
      </c>
      <c r="B23" t="s">
        <v>95</v>
      </c>
      <c r="C23" t="s">
        <v>154</v>
      </c>
      <c r="D23" t="s">
        <v>164</v>
      </c>
      <c r="E23">
        <v>5901.13</v>
      </c>
      <c r="F23" t="s">
        <v>86</v>
      </c>
      <c r="G23" t="b">
        <v>0</v>
      </c>
      <c r="H23">
        <v>38215</v>
      </c>
      <c r="I23">
        <v>0</v>
      </c>
      <c r="J23" t="s">
        <v>237</v>
      </c>
      <c r="K23" t="s">
        <v>238</v>
      </c>
      <c r="L23" s="5">
        <v>45730</v>
      </c>
      <c r="M23" t="s">
        <v>89</v>
      </c>
      <c r="N23" t="s">
        <v>90</v>
      </c>
      <c r="O23">
        <v>125</v>
      </c>
      <c r="P23" t="s">
        <v>185</v>
      </c>
      <c r="Q23">
        <v>21926</v>
      </c>
      <c r="R23">
        <v>1</v>
      </c>
      <c r="S23" t="s">
        <v>85</v>
      </c>
      <c r="T23" t="s">
        <v>85</v>
      </c>
      <c r="U23" t="s">
        <v>85</v>
      </c>
    </row>
    <row r="24" spans="1:21" x14ac:dyDescent="0.3">
      <c r="A24">
        <v>547</v>
      </c>
      <c r="B24" t="s">
        <v>95</v>
      </c>
      <c r="C24" t="s">
        <v>154</v>
      </c>
      <c r="D24" t="s">
        <v>155</v>
      </c>
      <c r="E24">
        <v>390.03</v>
      </c>
      <c r="F24" t="s">
        <v>86</v>
      </c>
      <c r="G24" t="b">
        <v>0</v>
      </c>
      <c r="H24">
        <v>38796</v>
      </c>
      <c r="I24">
        <v>1</v>
      </c>
      <c r="J24" t="s">
        <v>239</v>
      </c>
      <c r="K24" t="s">
        <v>240</v>
      </c>
      <c r="L24" s="5">
        <v>45744</v>
      </c>
      <c r="M24" t="s">
        <v>89</v>
      </c>
      <c r="N24" t="s">
        <v>90</v>
      </c>
      <c r="O24">
        <v>125</v>
      </c>
      <c r="P24" t="s">
        <v>185</v>
      </c>
      <c r="Q24">
        <v>21968</v>
      </c>
      <c r="R24">
        <v>1</v>
      </c>
      <c r="S24" t="s">
        <v>85</v>
      </c>
      <c r="T24" t="s">
        <v>85</v>
      </c>
      <c r="U24" t="s">
        <v>85</v>
      </c>
    </row>
    <row r="25" spans="1:21" x14ac:dyDescent="0.3">
      <c r="A25">
        <v>547</v>
      </c>
      <c r="B25" t="s">
        <v>95</v>
      </c>
      <c r="C25" t="s">
        <v>154</v>
      </c>
      <c r="D25" t="s">
        <v>164</v>
      </c>
      <c r="E25">
        <v>1166.23</v>
      </c>
      <c r="F25" t="s">
        <v>86</v>
      </c>
      <c r="G25" t="b">
        <v>0</v>
      </c>
      <c r="H25">
        <v>40817</v>
      </c>
      <c r="I25">
        <v>0</v>
      </c>
      <c r="J25" t="s">
        <v>241</v>
      </c>
      <c r="K25" t="s">
        <v>242</v>
      </c>
      <c r="L25" s="5">
        <v>45772</v>
      </c>
      <c r="M25" t="s">
        <v>89</v>
      </c>
      <c r="N25" t="s">
        <v>90</v>
      </c>
      <c r="O25">
        <v>125</v>
      </c>
      <c r="P25" t="s">
        <v>185</v>
      </c>
      <c r="Q25">
        <v>22024</v>
      </c>
      <c r="R25">
        <v>1</v>
      </c>
      <c r="S25" t="s">
        <v>85</v>
      </c>
      <c r="T25" t="s">
        <v>85</v>
      </c>
      <c r="U25" t="s">
        <v>85</v>
      </c>
    </row>
    <row r="26" spans="1:21" x14ac:dyDescent="0.3">
      <c r="A26">
        <v>547</v>
      </c>
      <c r="B26" t="s">
        <v>95</v>
      </c>
      <c r="C26" t="s">
        <v>154</v>
      </c>
      <c r="D26" t="s">
        <v>164</v>
      </c>
      <c r="E26">
        <v>17575.91</v>
      </c>
      <c r="F26" t="s">
        <v>86</v>
      </c>
      <c r="G26" t="b">
        <v>0</v>
      </c>
      <c r="H26">
        <v>41994</v>
      </c>
      <c r="I26">
        <v>3</v>
      </c>
      <c r="J26" t="s">
        <v>243</v>
      </c>
      <c r="K26" t="s">
        <v>244</v>
      </c>
      <c r="L26" s="5">
        <v>45791</v>
      </c>
      <c r="M26" t="s">
        <v>89</v>
      </c>
      <c r="N26" t="s">
        <v>90</v>
      </c>
      <c r="O26">
        <v>125</v>
      </c>
      <c r="P26" t="s">
        <v>185</v>
      </c>
      <c r="Q26">
        <v>22077</v>
      </c>
      <c r="R26">
        <v>1</v>
      </c>
      <c r="S26" t="s">
        <v>85</v>
      </c>
      <c r="T26" t="s">
        <v>85</v>
      </c>
      <c r="U26" t="s">
        <v>85</v>
      </c>
    </row>
    <row r="27" spans="1:21" x14ac:dyDescent="0.3">
      <c r="A27">
        <v>547</v>
      </c>
      <c r="B27" t="s">
        <v>95</v>
      </c>
      <c r="C27" t="s">
        <v>154</v>
      </c>
      <c r="D27" t="s">
        <v>164</v>
      </c>
      <c r="E27">
        <v>1258.9100000000001</v>
      </c>
      <c r="F27" t="s">
        <v>86</v>
      </c>
      <c r="G27" t="b">
        <v>0</v>
      </c>
      <c r="H27">
        <v>44284</v>
      </c>
      <c r="I27">
        <v>0</v>
      </c>
      <c r="J27" t="s">
        <v>245</v>
      </c>
      <c r="K27" t="s">
        <v>246</v>
      </c>
      <c r="L27" s="5">
        <v>45827</v>
      </c>
      <c r="M27" t="s">
        <v>89</v>
      </c>
      <c r="N27" t="s">
        <v>90</v>
      </c>
      <c r="O27">
        <v>125</v>
      </c>
      <c r="P27" t="s">
        <v>185</v>
      </c>
      <c r="Q27">
        <v>22182</v>
      </c>
      <c r="R27">
        <v>1</v>
      </c>
      <c r="S27" t="s">
        <v>85</v>
      </c>
      <c r="T27" t="s">
        <v>85</v>
      </c>
      <c r="U27" t="s">
        <v>85</v>
      </c>
    </row>
    <row r="28" spans="1:21" x14ac:dyDescent="0.3">
      <c r="A28">
        <v>547</v>
      </c>
      <c r="B28" t="s">
        <v>95</v>
      </c>
      <c r="C28" t="s">
        <v>154</v>
      </c>
      <c r="D28" t="s">
        <v>164</v>
      </c>
      <c r="E28">
        <v>1911</v>
      </c>
      <c r="F28" t="s">
        <v>86</v>
      </c>
      <c r="G28" t="b">
        <v>0</v>
      </c>
      <c r="H28">
        <v>44908</v>
      </c>
      <c r="I28">
        <v>0</v>
      </c>
      <c r="J28" t="s">
        <v>247</v>
      </c>
      <c r="K28" t="s">
        <v>248</v>
      </c>
      <c r="L28" s="5">
        <v>45840</v>
      </c>
      <c r="M28" t="s">
        <v>89</v>
      </c>
      <c r="N28" t="s">
        <v>90</v>
      </c>
      <c r="O28">
        <v>125</v>
      </c>
      <c r="P28" t="s">
        <v>185</v>
      </c>
      <c r="Q28">
        <v>22218</v>
      </c>
      <c r="R28">
        <v>1</v>
      </c>
      <c r="S28" t="s">
        <v>85</v>
      </c>
      <c r="T28" t="s">
        <v>85</v>
      </c>
      <c r="U28" t="s">
        <v>85</v>
      </c>
    </row>
    <row r="29" spans="1:21" x14ac:dyDescent="0.3">
      <c r="A29">
        <v>547</v>
      </c>
      <c r="B29" t="s">
        <v>95</v>
      </c>
      <c r="C29" t="s">
        <v>154</v>
      </c>
      <c r="D29" t="s">
        <v>164</v>
      </c>
      <c r="E29">
        <v>2873</v>
      </c>
      <c r="F29" t="s">
        <v>86</v>
      </c>
      <c r="G29" t="b">
        <v>0</v>
      </c>
      <c r="H29">
        <v>46477</v>
      </c>
      <c r="I29">
        <v>1</v>
      </c>
      <c r="J29" t="s">
        <v>249</v>
      </c>
      <c r="K29" t="s">
        <v>250</v>
      </c>
      <c r="L29" s="5">
        <v>45880</v>
      </c>
      <c r="M29" t="s">
        <v>89</v>
      </c>
      <c r="N29" t="s">
        <v>90</v>
      </c>
      <c r="O29">
        <v>125</v>
      </c>
      <c r="P29" t="s">
        <v>185</v>
      </c>
      <c r="Q29">
        <v>22308</v>
      </c>
      <c r="R29">
        <v>1</v>
      </c>
      <c r="S29" t="s">
        <v>85</v>
      </c>
      <c r="T29" t="s">
        <v>85</v>
      </c>
      <c r="U29" t="s">
        <v>85</v>
      </c>
    </row>
    <row r="30" spans="1:21" x14ac:dyDescent="0.3">
      <c r="A30">
        <v>547</v>
      </c>
      <c r="B30" t="s">
        <v>95</v>
      </c>
      <c r="C30" t="s">
        <v>154</v>
      </c>
      <c r="D30" t="s">
        <v>164</v>
      </c>
      <c r="E30">
        <v>2828.99</v>
      </c>
      <c r="F30" t="s">
        <v>86</v>
      </c>
      <c r="G30" t="b">
        <v>0</v>
      </c>
      <c r="H30">
        <v>47629</v>
      </c>
      <c r="I30">
        <v>0</v>
      </c>
      <c r="J30" t="s">
        <v>251</v>
      </c>
      <c r="K30" t="s">
        <v>252</v>
      </c>
      <c r="L30" s="5">
        <v>45904</v>
      </c>
      <c r="M30" t="s">
        <v>89</v>
      </c>
      <c r="N30" t="s">
        <v>90</v>
      </c>
      <c r="O30">
        <v>125</v>
      </c>
      <c r="P30" t="s">
        <v>185</v>
      </c>
      <c r="Q30">
        <v>22382</v>
      </c>
      <c r="R30">
        <v>1</v>
      </c>
      <c r="S30" t="s">
        <v>85</v>
      </c>
      <c r="T30" t="s">
        <v>85</v>
      </c>
      <c r="U30" t="s">
        <v>85</v>
      </c>
    </row>
    <row r="31" spans="1:21" x14ac:dyDescent="0.3">
      <c r="A31">
        <v>547</v>
      </c>
      <c r="B31" t="s">
        <v>95</v>
      </c>
      <c r="C31" t="s">
        <v>154</v>
      </c>
      <c r="D31" t="s">
        <v>155</v>
      </c>
      <c r="E31">
        <v>4073.74</v>
      </c>
      <c r="F31" t="s">
        <v>86</v>
      </c>
      <c r="G31" t="b">
        <v>0</v>
      </c>
      <c r="H31">
        <v>48017</v>
      </c>
      <c r="I31">
        <v>1</v>
      </c>
      <c r="J31" t="s">
        <v>253</v>
      </c>
      <c r="K31" t="s">
        <v>254</v>
      </c>
      <c r="L31" s="5">
        <v>45911</v>
      </c>
      <c r="M31" t="s">
        <v>89</v>
      </c>
      <c r="N31" t="s">
        <v>90</v>
      </c>
      <c r="O31">
        <v>125</v>
      </c>
      <c r="P31" t="s">
        <v>185</v>
      </c>
      <c r="Q31">
        <v>22407</v>
      </c>
      <c r="R31">
        <v>1</v>
      </c>
      <c r="S31" t="s">
        <v>85</v>
      </c>
      <c r="T31" t="s">
        <v>85</v>
      </c>
      <c r="U31" t="s">
        <v>85</v>
      </c>
    </row>
    <row r="32" spans="1:21" x14ac:dyDescent="0.3">
      <c r="A32">
        <v>547</v>
      </c>
      <c r="B32" t="s">
        <v>95</v>
      </c>
      <c r="C32" t="s">
        <v>154</v>
      </c>
      <c r="D32" t="s">
        <v>164</v>
      </c>
      <c r="E32">
        <v>2924.7</v>
      </c>
      <c r="F32" t="s">
        <v>86</v>
      </c>
      <c r="G32" t="b">
        <v>0</v>
      </c>
      <c r="H32">
        <v>49407</v>
      </c>
      <c r="I32">
        <v>0</v>
      </c>
      <c r="J32" t="s">
        <v>244</v>
      </c>
      <c r="K32" t="s">
        <v>255</v>
      </c>
      <c r="L32" s="5">
        <v>45946</v>
      </c>
      <c r="M32" t="s">
        <v>89</v>
      </c>
      <c r="N32" t="s">
        <v>90</v>
      </c>
      <c r="O32">
        <v>125</v>
      </c>
      <c r="P32" t="s">
        <v>185</v>
      </c>
      <c r="Q32">
        <v>22499</v>
      </c>
      <c r="R32">
        <v>1</v>
      </c>
      <c r="S32" t="s">
        <v>85</v>
      </c>
      <c r="T32" t="s">
        <v>85</v>
      </c>
      <c r="U32" t="s">
        <v>85</v>
      </c>
    </row>
    <row r="35" spans="1:7" x14ac:dyDescent="0.3">
      <c r="A35" t="s">
        <v>175</v>
      </c>
    </row>
    <row r="38" spans="1:7" x14ac:dyDescent="0.3">
      <c r="A38" t="s">
        <v>176</v>
      </c>
      <c r="B38" t="s">
        <v>177</v>
      </c>
      <c r="C38" t="s">
        <v>178</v>
      </c>
      <c r="D38" t="s">
        <v>179</v>
      </c>
      <c r="E38" t="s">
        <v>65</v>
      </c>
      <c r="F38" t="s">
        <v>64</v>
      </c>
      <c r="G38" t="s">
        <v>180</v>
      </c>
    </row>
    <row r="39" spans="1:7" x14ac:dyDescent="0.3">
      <c r="A39">
        <v>131.32</v>
      </c>
      <c r="B39">
        <v>35285</v>
      </c>
      <c r="C39" t="s">
        <v>27</v>
      </c>
      <c r="D39">
        <v>35451</v>
      </c>
      <c r="E39" s="5">
        <v>45664</v>
      </c>
      <c r="F39">
        <v>21740</v>
      </c>
      <c r="G39" t="s">
        <v>181</v>
      </c>
    </row>
    <row r="40" spans="1:7" x14ac:dyDescent="0.3">
      <c r="A40">
        <v>5500</v>
      </c>
      <c r="B40">
        <v>35284</v>
      </c>
      <c r="C40" t="s">
        <v>27</v>
      </c>
      <c r="D40">
        <v>35498</v>
      </c>
      <c r="E40" s="5">
        <v>45664</v>
      </c>
      <c r="F40">
        <v>21736</v>
      </c>
      <c r="G40" t="s">
        <v>181</v>
      </c>
    </row>
    <row r="41" spans="1:7" x14ac:dyDescent="0.3">
      <c r="A41">
        <v>125</v>
      </c>
      <c r="B41">
        <v>35257</v>
      </c>
      <c r="C41" t="s">
        <v>27</v>
      </c>
      <c r="D41">
        <v>35497</v>
      </c>
      <c r="E41" s="5">
        <v>45663</v>
      </c>
      <c r="F41">
        <v>21737</v>
      </c>
      <c r="G41" t="s">
        <v>181</v>
      </c>
    </row>
    <row r="42" spans="1:7" x14ac:dyDescent="0.3">
      <c r="A42">
        <v>1060</v>
      </c>
      <c r="B42">
        <v>35265</v>
      </c>
      <c r="C42" t="s">
        <v>27</v>
      </c>
      <c r="D42">
        <v>35502</v>
      </c>
      <c r="E42" s="5">
        <v>45665</v>
      </c>
      <c r="F42" t="s">
        <v>168</v>
      </c>
      <c r="G42" t="s">
        <v>181</v>
      </c>
    </row>
    <row r="43" spans="1:7" x14ac:dyDescent="0.3">
      <c r="A43">
        <v>3708</v>
      </c>
      <c r="B43">
        <v>35288</v>
      </c>
      <c r="C43" t="s">
        <v>27</v>
      </c>
      <c r="D43">
        <v>35501</v>
      </c>
      <c r="E43" s="5">
        <v>45664</v>
      </c>
      <c r="F43">
        <v>21742</v>
      </c>
      <c r="G43" t="s">
        <v>181</v>
      </c>
    </row>
    <row r="44" spans="1:7" x14ac:dyDescent="0.3">
      <c r="A44">
        <v>469.64</v>
      </c>
      <c r="B44">
        <v>31250</v>
      </c>
      <c r="C44" t="s">
        <v>27</v>
      </c>
      <c r="D44">
        <v>35509</v>
      </c>
      <c r="E44" s="5">
        <v>45666</v>
      </c>
      <c r="F44">
        <v>21749</v>
      </c>
      <c r="G44" t="s">
        <v>181</v>
      </c>
    </row>
    <row r="45" spans="1:7" x14ac:dyDescent="0.3">
      <c r="A45">
        <v>4282.6499999999996</v>
      </c>
      <c r="B45">
        <v>35289</v>
      </c>
      <c r="C45" t="s">
        <v>27</v>
      </c>
      <c r="D45">
        <v>35508</v>
      </c>
      <c r="E45" s="5">
        <v>45666</v>
      </c>
      <c r="F45">
        <v>21748</v>
      </c>
      <c r="G45" t="s">
        <v>181</v>
      </c>
    </row>
    <row r="46" spans="1:7" x14ac:dyDescent="0.3">
      <c r="A46">
        <v>169.34</v>
      </c>
      <c r="B46">
        <v>35233</v>
      </c>
      <c r="C46" t="s">
        <v>27</v>
      </c>
      <c r="D46">
        <v>35515</v>
      </c>
      <c r="E46" s="5">
        <v>45672</v>
      </c>
      <c r="F46" t="s">
        <v>168</v>
      </c>
      <c r="G46" t="s">
        <v>181</v>
      </c>
    </row>
    <row r="47" spans="1:7" x14ac:dyDescent="0.3">
      <c r="A47">
        <v>1722</v>
      </c>
      <c r="B47">
        <v>35283</v>
      </c>
      <c r="C47" t="s">
        <v>27</v>
      </c>
      <c r="D47">
        <v>35522</v>
      </c>
      <c r="E47" s="5">
        <v>45674</v>
      </c>
      <c r="F47">
        <v>21761</v>
      </c>
      <c r="G47" t="s">
        <v>181</v>
      </c>
    </row>
    <row r="48" spans="1:7" x14ac:dyDescent="0.3">
      <c r="A48">
        <v>88.28</v>
      </c>
      <c r="B48">
        <v>35297</v>
      </c>
      <c r="C48" t="s">
        <v>27</v>
      </c>
      <c r="D48">
        <v>35520</v>
      </c>
      <c r="E48" s="5">
        <v>45674</v>
      </c>
      <c r="F48">
        <v>21759</v>
      </c>
      <c r="G48" t="s">
        <v>181</v>
      </c>
    </row>
    <row r="49" spans="1:7" x14ac:dyDescent="0.3">
      <c r="A49">
        <v>2862</v>
      </c>
      <c r="B49">
        <v>35298</v>
      </c>
      <c r="C49" t="s">
        <v>27</v>
      </c>
      <c r="D49">
        <v>35525</v>
      </c>
      <c r="E49" s="5">
        <v>45674</v>
      </c>
      <c r="F49">
        <v>21764</v>
      </c>
      <c r="G49" t="s">
        <v>181</v>
      </c>
    </row>
    <row r="50" spans="1:7" x14ac:dyDescent="0.3">
      <c r="A50">
        <v>1095.3599999999999</v>
      </c>
      <c r="B50">
        <v>35292</v>
      </c>
      <c r="C50" t="s">
        <v>27</v>
      </c>
      <c r="D50">
        <v>35543</v>
      </c>
      <c r="E50" s="5">
        <v>45681</v>
      </c>
      <c r="F50">
        <v>21789</v>
      </c>
      <c r="G50" t="s">
        <v>181</v>
      </c>
    </row>
    <row r="51" spans="1:7" x14ac:dyDescent="0.3">
      <c r="A51">
        <v>943</v>
      </c>
      <c r="B51">
        <v>35293</v>
      </c>
      <c r="C51" t="s">
        <v>27</v>
      </c>
      <c r="D51">
        <v>35543</v>
      </c>
      <c r="E51" s="5">
        <v>45681</v>
      </c>
      <c r="F51">
        <v>21789</v>
      </c>
      <c r="G51" t="s">
        <v>181</v>
      </c>
    </row>
    <row r="52" spans="1:7" x14ac:dyDescent="0.3">
      <c r="A52">
        <v>119.36</v>
      </c>
      <c r="B52">
        <v>35294</v>
      </c>
      <c r="C52" t="s">
        <v>27</v>
      </c>
      <c r="D52">
        <v>35543</v>
      </c>
      <c r="E52" s="5">
        <v>45681</v>
      </c>
      <c r="F52">
        <v>21789</v>
      </c>
      <c r="G52" t="s">
        <v>181</v>
      </c>
    </row>
    <row r="53" spans="1:7" x14ac:dyDescent="0.3">
      <c r="A53">
        <v>5644.49</v>
      </c>
      <c r="B53">
        <v>35287</v>
      </c>
      <c r="C53" t="s">
        <v>27</v>
      </c>
      <c r="D53">
        <v>35552</v>
      </c>
      <c r="E53" s="5">
        <v>45681</v>
      </c>
      <c r="F53">
        <v>21799</v>
      </c>
      <c r="G53" t="s">
        <v>181</v>
      </c>
    </row>
    <row r="54" spans="1:7" x14ac:dyDescent="0.3">
      <c r="A54">
        <v>185.32</v>
      </c>
      <c r="B54">
        <v>32327</v>
      </c>
      <c r="C54" t="s">
        <v>27</v>
      </c>
      <c r="D54">
        <v>36468</v>
      </c>
      <c r="E54" s="5">
        <v>45681</v>
      </c>
      <c r="F54" t="s">
        <v>218</v>
      </c>
      <c r="G54" t="s">
        <v>181</v>
      </c>
    </row>
    <row r="55" spans="1:7" x14ac:dyDescent="0.3">
      <c r="A55">
        <v>463.38</v>
      </c>
      <c r="B55">
        <v>32328</v>
      </c>
      <c r="C55" t="s">
        <v>27</v>
      </c>
      <c r="D55">
        <v>36471</v>
      </c>
      <c r="E55" s="5">
        <v>45681</v>
      </c>
      <c r="F55" t="s">
        <v>221</v>
      </c>
      <c r="G55" t="s">
        <v>181</v>
      </c>
    </row>
    <row r="56" spans="1:7" x14ac:dyDescent="0.3">
      <c r="A56">
        <v>740.4</v>
      </c>
      <c r="B56">
        <v>36485</v>
      </c>
      <c r="C56" t="s">
        <v>27</v>
      </c>
      <c r="D56">
        <v>36502</v>
      </c>
      <c r="E56" s="5">
        <v>45674</v>
      </c>
      <c r="F56">
        <v>2029</v>
      </c>
      <c r="G56" t="s">
        <v>181</v>
      </c>
    </row>
    <row r="57" spans="1:7" x14ac:dyDescent="0.3">
      <c r="A57">
        <v>185.32</v>
      </c>
      <c r="B57">
        <v>32332</v>
      </c>
      <c r="C57" t="s">
        <v>27</v>
      </c>
      <c r="D57">
        <v>36560</v>
      </c>
      <c r="E57" s="5">
        <v>45681</v>
      </c>
      <c r="F57" t="s">
        <v>228</v>
      </c>
      <c r="G57" t="s">
        <v>181</v>
      </c>
    </row>
    <row r="58" spans="1:7" x14ac:dyDescent="0.3">
      <c r="A58">
        <v>352</v>
      </c>
      <c r="B58">
        <v>35296</v>
      </c>
      <c r="C58" t="s">
        <v>27</v>
      </c>
      <c r="D58">
        <v>36568</v>
      </c>
      <c r="E58" s="5">
        <v>45678</v>
      </c>
      <c r="F58" t="s">
        <v>168</v>
      </c>
      <c r="G58" t="s">
        <v>181</v>
      </c>
    </row>
    <row r="59" spans="1:7" x14ac:dyDescent="0.3">
      <c r="A59">
        <v>18403.71</v>
      </c>
      <c r="B59">
        <v>35295</v>
      </c>
      <c r="C59" t="s">
        <v>27</v>
      </c>
      <c r="D59">
        <v>36569</v>
      </c>
      <c r="E59" s="5">
        <v>45678</v>
      </c>
      <c r="F59" t="s">
        <v>168</v>
      </c>
      <c r="G59" t="s">
        <v>181</v>
      </c>
    </row>
    <row r="60" spans="1:7" x14ac:dyDescent="0.3">
      <c r="A60">
        <v>1031.44</v>
      </c>
      <c r="B60">
        <v>32330</v>
      </c>
      <c r="C60" t="s">
        <v>27</v>
      </c>
      <c r="D60">
        <v>36576</v>
      </c>
      <c r="E60" s="5">
        <v>45681</v>
      </c>
      <c r="F60" t="s">
        <v>168</v>
      </c>
      <c r="G60" t="s">
        <v>181</v>
      </c>
    </row>
    <row r="61" spans="1:7" x14ac:dyDescent="0.3">
      <c r="A61">
        <v>685</v>
      </c>
      <c r="B61">
        <v>11079</v>
      </c>
      <c r="C61" t="s">
        <v>27</v>
      </c>
      <c r="D61">
        <v>37370</v>
      </c>
      <c r="E61" s="5">
        <v>45689</v>
      </c>
      <c r="F61" t="s">
        <v>168</v>
      </c>
      <c r="G61" t="s">
        <v>181</v>
      </c>
    </row>
    <row r="62" spans="1:7" x14ac:dyDescent="0.3">
      <c r="A62">
        <v>135</v>
      </c>
      <c r="B62">
        <v>37369</v>
      </c>
      <c r="C62" t="s">
        <v>27</v>
      </c>
      <c r="D62">
        <v>37370</v>
      </c>
      <c r="E62" s="5">
        <v>45689</v>
      </c>
      <c r="F62" t="s">
        <v>168</v>
      </c>
      <c r="G62" t="s">
        <v>181</v>
      </c>
    </row>
    <row r="63" spans="1:7" x14ac:dyDescent="0.3">
      <c r="A63">
        <v>685</v>
      </c>
      <c r="B63">
        <v>37080</v>
      </c>
      <c r="C63" t="s">
        <v>256</v>
      </c>
      <c r="D63">
        <v>37370</v>
      </c>
      <c r="E63" s="5">
        <v>45689</v>
      </c>
      <c r="F63" t="s">
        <v>168</v>
      </c>
      <c r="G63" t="s">
        <v>181</v>
      </c>
    </row>
    <row r="64" spans="1:7" x14ac:dyDescent="0.3">
      <c r="A64">
        <v>4203.74</v>
      </c>
      <c r="B64">
        <v>38163</v>
      </c>
      <c r="C64" t="s">
        <v>34</v>
      </c>
      <c r="D64">
        <v>38215</v>
      </c>
      <c r="E64" s="5">
        <v>45730</v>
      </c>
      <c r="F64">
        <v>21926</v>
      </c>
      <c r="G64" t="s">
        <v>181</v>
      </c>
    </row>
    <row r="65" spans="1:7" x14ac:dyDescent="0.3">
      <c r="A65">
        <v>1697.39</v>
      </c>
      <c r="B65">
        <v>38157</v>
      </c>
      <c r="C65" t="s">
        <v>34</v>
      </c>
      <c r="D65">
        <v>38215</v>
      </c>
      <c r="E65" s="5">
        <v>45730</v>
      </c>
      <c r="F65">
        <v>21926</v>
      </c>
      <c r="G65" t="s">
        <v>181</v>
      </c>
    </row>
    <row r="66" spans="1:7" x14ac:dyDescent="0.3">
      <c r="A66">
        <v>390.03</v>
      </c>
      <c r="B66">
        <v>38436</v>
      </c>
      <c r="C66" t="s">
        <v>34</v>
      </c>
      <c r="D66">
        <v>38796</v>
      </c>
      <c r="E66" s="5">
        <v>45744</v>
      </c>
      <c r="F66">
        <v>21968</v>
      </c>
      <c r="G66" t="s">
        <v>181</v>
      </c>
    </row>
    <row r="67" spans="1:7" x14ac:dyDescent="0.3">
      <c r="A67">
        <v>2107.46</v>
      </c>
      <c r="B67">
        <v>40263</v>
      </c>
      <c r="C67" t="s">
        <v>34</v>
      </c>
      <c r="D67">
        <v>40817</v>
      </c>
      <c r="E67" s="5">
        <v>45772</v>
      </c>
      <c r="F67">
        <v>22024</v>
      </c>
      <c r="G67" t="s">
        <v>181</v>
      </c>
    </row>
    <row r="68" spans="1:7" x14ac:dyDescent="0.3">
      <c r="A68">
        <v>941.23</v>
      </c>
      <c r="B68">
        <v>40269</v>
      </c>
      <c r="C68" t="s">
        <v>34</v>
      </c>
      <c r="D68">
        <v>40817</v>
      </c>
      <c r="E68" s="5">
        <v>45772</v>
      </c>
      <c r="F68">
        <v>22024</v>
      </c>
      <c r="G68" t="s">
        <v>181</v>
      </c>
    </row>
    <row r="69" spans="1:7" x14ac:dyDescent="0.3">
      <c r="A69">
        <v>4231.12</v>
      </c>
      <c r="B69">
        <v>41043</v>
      </c>
      <c r="C69" t="s">
        <v>34</v>
      </c>
      <c r="D69">
        <v>41994</v>
      </c>
      <c r="E69" s="5">
        <v>45791</v>
      </c>
      <c r="F69">
        <v>22077</v>
      </c>
      <c r="G69" t="s">
        <v>181</v>
      </c>
    </row>
    <row r="70" spans="1:7" x14ac:dyDescent="0.3">
      <c r="A70">
        <v>489.19</v>
      </c>
      <c r="B70">
        <v>49331</v>
      </c>
      <c r="C70" t="s">
        <v>34</v>
      </c>
      <c r="D70">
        <v>41994</v>
      </c>
      <c r="E70" s="5">
        <v>45791</v>
      </c>
      <c r="F70">
        <v>22077</v>
      </c>
      <c r="G70" t="s">
        <v>181</v>
      </c>
    </row>
    <row r="71" spans="1:7" x14ac:dyDescent="0.3">
      <c r="A71">
        <v>2727.08</v>
      </c>
      <c r="B71">
        <v>41045</v>
      </c>
      <c r="C71" t="s">
        <v>34</v>
      </c>
      <c r="D71">
        <v>41994</v>
      </c>
      <c r="E71" s="5">
        <v>45791</v>
      </c>
      <c r="F71">
        <v>22077</v>
      </c>
      <c r="G71" t="s">
        <v>181</v>
      </c>
    </row>
    <row r="72" spans="1:7" x14ac:dyDescent="0.3">
      <c r="A72">
        <v>3547.33</v>
      </c>
      <c r="B72">
        <v>41046</v>
      </c>
      <c r="C72" t="s">
        <v>34</v>
      </c>
      <c r="D72">
        <v>41994</v>
      </c>
      <c r="E72" s="5">
        <v>45791</v>
      </c>
      <c r="F72">
        <v>22077</v>
      </c>
      <c r="G72" t="s">
        <v>181</v>
      </c>
    </row>
    <row r="73" spans="1:7" x14ac:dyDescent="0.3">
      <c r="A73">
        <v>3458.38</v>
      </c>
      <c r="B73">
        <v>41452</v>
      </c>
      <c r="C73" t="s">
        <v>34</v>
      </c>
      <c r="D73">
        <v>41994</v>
      </c>
      <c r="E73" s="5">
        <v>45791</v>
      </c>
      <c r="F73">
        <v>22077</v>
      </c>
      <c r="G73" t="s">
        <v>181</v>
      </c>
    </row>
    <row r="74" spans="1:7" x14ac:dyDescent="0.3">
      <c r="A74">
        <v>1316.81</v>
      </c>
      <c r="B74">
        <v>49102</v>
      </c>
      <c r="C74" t="s">
        <v>34</v>
      </c>
      <c r="D74">
        <v>41994</v>
      </c>
      <c r="E74" s="5">
        <v>45791</v>
      </c>
      <c r="F74">
        <v>22077</v>
      </c>
      <c r="G74" t="s">
        <v>181</v>
      </c>
    </row>
    <row r="75" spans="1:7" x14ac:dyDescent="0.3">
      <c r="A75">
        <v>1806</v>
      </c>
      <c r="B75">
        <v>41967</v>
      </c>
      <c r="C75" t="s">
        <v>34</v>
      </c>
      <c r="D75">
        <v>41994</v>
      </c>
      <c r="E75" s="5">
        <v>45791</v>
      </c>
      <c r="F75">
        <v>22077</v>
      </c>
      <c r="G75" t="s">
        <v>181</v>
      </c>
    </row>
    <row r="76" spans="1:7" x14ac:dyDescent="0.3">
      <c r="A76">
        <v>1258.9100000000001</v>
      </c>
      <c r="B76">
        <v>44164</v>
      </c>
      <c r="C76" t="s">
        <v>34</v>
      </c>
      <c r="D76">
        <v>44284</v>
      </c>
      <c r="E76" s="5">
        <v>45827</v>
      </c>
      <c r="F76">
        <v>22182</v>
      </c>
      <c r="G76" t="s">
        <v>181</v>
      </c>
    </row>
    <row r="77" spans="1:7" x14ac:dyDescent="0.3">
      <c r="A77">
        <v>1911</v>
      </c>
      <c r="B77">
        <v>44164</v>
      </c>
      <c r="C77" t="s">
        <v>34</v>
      </c>
      <c r="D77">
        <v>44908</v>
      </c>
      <c r="E77" s="5">
        <v>45840</v>
      </c>
      <c r="F77">
        <v>22218</v>
      </c>
      <c r="G77" t="s">
        <v>181</v>
      </c>
    </row>
    <row r="78" spans="1:7" x14ac:dyDescent="0.3">
      <c r="A78">
        <v>2873</v>
      </c>
      <c r="B78">
        <v>46213</v>
      </c>
      <c r="C78" t="s">
        <v>34</v>
      </c>
      <c r="D78">
        <v>46477</v>
      </c>
      <c r="E78" s="5">
        <v>45880</v>
      </c>
      <c r="F78">
        <v>22308</v>
      </c>
      <c r="G78" t="s">
        <v>181</v>
      </c>
    </row>
    <row r="79" spans="1:7" x14ac:dyDescent="0.3">
      <c r="A79">
        <v>2828.99</v>
      </c>
      <c r="B79">
        <v>46805</v>
      </c>
      <c r="C79" t="s">
        <v>34</v>
      </c>
      <c r="D79">
        <v>47629</v>
      </c>
      <c r="E79" s="5">
        <v>45904</v>
      </c>
      <c r="F79">
        <v>22382</v>
      </c>
      <c r="G79" t="s">
        <v>181</v>
      </c>
    </row>
    <row r="80" spans="1:7" x14ac:dyDescent="0.3">
      <c r="A80">
        <v>3146</v>
      </c>
      <c r="B80">
        <v>47889</v>
      </c>
      <c r="C80" t="s">
        <v>34</v>
      </c>
      <c r="D80">
        <v>48017</v>
      </c>
      <c r="E80" s="5">
        <v>45911</v>
      </c>
      <c r="F80">
        <v>22407</v>
      </c>
      <c r="G80" t="s">
        <v>181</v>
      </c>
    </row>
    <row r="81" spans="1:34" x14ac:dyDescent="0.3">
      <c r="A81">
        <v>393.72</v>
      </c>
      <c r="B81">
        <v>47836</v>
      </c>
      <c r="C81" t="s">
        <v>34</v>
      </c>
      <c r="D81">
        <v>48017</v>
      </c>
      <c r="E81" s="5">
        <v>45911</v>
      </c>
      <c r="F81">
        <v>22407</v>
      </c>
      <c r="G81" t="s">
        <v>181</v>
      </c>
    </row>
    <row r="82" spans="1:34" x14ac:dyDescent="0.3">
      <c r="A82">
        <v>534.02</v>
      </c>
      <c r="B82">
        <v>47853</v>
      </c>
      <c r="C82" t="s">
        <v>34</v>
      </c>
      <c r="D82">
        <v>48017</v>
      </c>
      <c r="E82" s="5">
        <v>45911</v>
      </c>
      <c r="F82">
        <v>22407</v>
      </c>
      <c r="G82" t="s">
        <v>181</v>
      </c>
    </row>
    <row r="83" spans="1:34" x14ac:dyDescent="0.3">
      <c r="A83">
        <v>494.1</v>
      </c>
      <c r="B83">
        <v>49331</v>
      </c>
      <c r="C83" t="s">
        <v>34</v>
      </c>
      <c r="D83">
        <v>49407</v>
      </c>
      <c r="E83" s="5">
        <v>45946</v>
      </c>
      <c r="F83">
        <v>22499</v>
      </c>
      <c r="G83" t="s">
        <v>181</v>
      </c>
    </row>
    <row r="84" spans="1:34" x14ac:dyDescent="0.3">
      <c r="A84">
        <v>1830.6</v>
      </c>
      <c r="B84">
        <v>49332</v>
      </c>
      <c r="C84" t="s">
        <v>34</v>
      </c>
      <c r="D84">
        <v>49407</v>
      </c>
      <c r="E84" s="5">
        <v>45946</v>
      </c>
      <c r="F84">
        <v>22499</v>
      </c>
      <c r="G84" t="s">
        <v>181</v>
      </c>
    </row>
    <row r="85" spans="1:34" x14ac:dyDescent="0.3">
      <c r="A85">
        <v>600</v>
      </c>
      <c r="B85">
        <v>49333</v>
      </c>
      <c r="C85" t="s">
        <v>34</v>
      </c>
      <c r="D85">
        <v>49407</v>
      </c>
      <c r="E85" s="5">
        <v>45946</v>
      </c>
      <c r="F85">
        <v>22499</v>
      </c>
      <c r="G85" t="s">
        <v>181</v>
      </c>
    </row>
    <row r="88" spans="1:34" x14ac:dyDescent="0.3">
      <c r="A88" t="s">
        <v>257</v>
      </c>
    </row>
    <row r="90" spans="1:34" x14ac:dyDescent="0.3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 t="s">
        <v>56</v>
      </c>
      <c r="H90" t="s">
        <v>57</v>
      </c>
      <c r="I90" t="s">
        <v>58</v>
      </c>
      <c r="J90" t="s">
        <v>59</v>
      </c>
      <c r="K90" t="s">
        <v>60</v>
      </c>
      <c r="L90" t="s">
        <v>61</v>
      </c>
      <c r="M90" t="s">
        <v>62</v>
      </c>
      <c r="N90" t="s">
        <v>63</v>
      </c>
      <c r="O90" t="s">
        <v>64</v>
      </c>
      <c r="P90" t="s">
        <v>65</v>
      </c>
      <c r="Q90" t="s">
        <v>66</v>
      </c>
      <c r="R90" t="s">
        <v>67</v>
      </c>
      <c r="S90" t="s">
        <v>68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74</v>
      </c>
      <c r="Z90" t="s">
        <v>75</v>
      </c>
      <c r="AA90" t="s">
        <v>76</v>
      </c>
      <c r="AB90" t="s">
        <v>77</v>
      </c>
      <c r="AC90" t="s">
        <v>78</v>
      </c>
      <c r="AD90" t="s">
        <v>79</v>
      </c>
      <c r="AE90" t="s">
        <v>80</v>
      </c>
      <c r="AF90" t="s">
        <v>81</v>
      </c>
      <c r="AG90" t="s">
        <v>82</v>
      </c>
      <c r="AH90" t="s">
        <v>83</v>
      </c>
    </row>
    <row r="91" spans="1:34" x14ac:dyDescent="0.3">
      <c r="A91" s="5">
        <v>45301</v>
      </c>
      <c r="B91">
        <v>227</v>
      </c>
      <c r="C91" t="s">
        <v>258</v>
      </c>
      <c r="D91" t="s">
        <v>259</v>
      </c>
      <c r="E91" t="s">
        <v>112</v>
      </c>
      <c r="F91" t="s">
        <v>260</v>
      </c>
      <c r="G91">
        <v>0</v>
      </c>
      <c r="H91" t="s">
        <v>86</v>
      </c>
      <c r="I91" t="b">
        <v>0</v>
      </c>
      <c r="J91">
        <v>11079</v>
      </c>
      <c r="K91">
        <v>2</v>
      </c>
      <c r="L91" t="s">
        <v>261</v>
      </c>
      <c r="M91">
        <v>9341453575116630</v>
      </c>
      <c r="N91" t="s">
        <v>236</v>
      </c>
      <c r="O91" t="s">
        <v>262</v>
      </c>
      <c r="P91" s="5">
        <v>45291</v>
      </c>
      <c r="Q91" t="s">
        <v>89</v>
      </c>
      <c r="R91" t="s">
        <v>90</v>
      </c>
      <c r="S91">
        <v>491</v>
      </c>
      <c r="T91" t="s">
        <v>191</v>
      </c>
      <c r="U91">
        <v>31</v>
      </c>
      <c r="V91" t="s">
        <v>92</v>
      </c>
      <c r="W91">
        <v>685</v>
      </c>
      <c r="X91" t="s">
        <v>85</v>
      </c>
      <c r="Y91" t="s">
        <v>85</v>
      </c>
      <c r="Z91" t="s">
        <v>85</v>
      </c>
      <c r="AA91">
        <v>1</v>
      </c>
      <c r="AB91" t="s">
        <v>263</v>
      </c>
      <c r="AC91" t="s">
        <v>85</v>
      </c>
      <c r="AD91" t="s">
        <v>85</v>
      </c>
      <c r="AE91" t="s">
        <v>85</v>
      </c>
      <c r="AF91" t="s">
        <v>85</v>
      </c>
      <c r="AG91" t="s">
        <v>85</v>
      </c>
      <c r="AH91" t="s">
        <v>85</v>
      </c>
    </row>
    <row r="92" spans="1:34" x14ac:dyDescent="0.3">
      <c r="A92" s="5">
        <v>45665</v>
      </c>
      <c r="B92">
        <v>3923</v>
      </c>
      <c r="C92" t="s">
        <v>95</v>
      </c>
      <c r="D92" t="s">
        <v>85</v>
      </c>
      <c r="E92" t="s">
        <v>85</v>
      </c>
      <c r="F92" t="s">
        <v>85</v>
      </c>
      <c r="G92">
        <v>0</v>
      </c>
      <c r="H92" t="s">
        <v>86</v>
      </c>
      <c r="I92" t="b">
        <v>0</v>
      </c>
      <c r="J92">
        <v>31250</v>
      </c>
      <c r="K92">
        <v>4</v>
      </c>
      <c r="L92" t="s">
        <v>264</v>
      </c>
      <c r="M92">
        <v>9341453574533460</v>
      </c>
      <c r="N92" t="s">
        <v>265</v>
      </c>
      <c r="O92">
        <v>856228</v>
      </c>
      <c r="P92" s="5">
        <v>45635</v>
      </c>
      <c r="Q92" t="s">
        <v>89</v>
      </c>
      <c r="R92" t="s">
        <v>90</v>
      </c>
      <c r="S92">
        <v>547</v>
      </c>
      <c r="T92" t="s">
        <v>95</v>
      </c>
      <c r="U92">
        <v>31</v>
      </c>
      <c r="V92" t="s">
        <v>92</v>
      </c>
      <c r="W92">
        <v>469.64</v>
      </c>
      <c r="X92" t="s">
        <v>85</v>
      </c>
      <c r="Y92">
        <v>8</v>
      </c>
      <c r="Z92" t="s">
        <v>85</v>
      </c>
      <c r="AA92">
        <v>1</v>
      </c>
      <c r="AB92" t="s">
        <v>263</v>
      </c>
      <c r="AC92" t="s">
        <v>85</v>
      </c>
      <c r="AD92" t="s">
        <v>85</v>
      </c>
      <c r="AE92" t="s">
        <v>85</v>
      </c>
      <c r="AF92" t="s">
        <v>85</v>
      </c>
      <c r="AG92" t="s">
        <v>85</v>
      </c>
      <c r="AH92" t="s">
        <v>85</v>
      </c>
    </row>
    <row r="93" spans="1:34" x14ac:dyDescent="0.3">
      <c r="A93" s="5">
        <v>45677</v>
      </c>
      <c r="B93">
        <v>8789</v>
      </c>
      <c r="C93" t="s">
        <v>266</v>
      </c>
      <c r="D93" t="s">
        <v>85</v>
      </c>
      <c r="E93" t="s">
        <v>85</v>
      </c>
      <c r="F93" t="s">
        <v>85</v>
      </c>
      <c r="G93">
        <v>0</v>
      </c>
      <c r="H93" t="s">
        <v>86</v>
      </c>
      <c r="I93" t="b">
        <v>0</v>
      </c>
      <c r="J93">
        <v>32327</v>
      </c>
      <c r="K93">
        <v>3</v>
      </c>
      <c r="L93" t="s">
        <v>267</v>
      </c>
      <c r="M93">
        <v>9341453574533460</v>
      </c>
      <c r="N93" t="s">
        <v>268</v>
      </c>
      <c r="O93">
        <v>763244</v>
      </c>
      <c r="P93" s="5">
        <v>45657</v>
      </c>
      <c r="Q93" t="s">
        <v>89</v>
      </c>
      <c r="R93" t="s">
        <v>90</v>
      </c>
      <c r="S93">
        <v>308</v>
      </c>
      <c r="T93" t="s">
        <v>216</v>
      </c>
      <c r="U93">
        <v>31</v>
      </c>
      <c r="V93" t="s">
        <v>92</v>
      </c>
      <c r="W93">
        <v>185.32</v>
      </c>
      <c r="X93" t="s">
        <v>269</v>
      </c>
      <c r="Y93">
        <v>16</v>
      </c>
      <c r="Z93" t="s">
        <v>270</v>
      </c>
      <c r="AA93">
        <v>1</v>
      </c>
      <c r="AB93" t="s">
        <v>263</v>
      </c>
      <c r="AC93" t="s">
        <v>85</v>
      </c>
      <c r="AD93" t="s">
        <v>85</v>
      </c>
      <c r="AE93" t="s">
        <v>271</v>
      </c>
      <c r="AF93" t="s">
        <v>85</v>
      </c>
      <c r="AG93" t="s">
        <v>85</v>
      </c>
      <c r="AH93" t="s">
        <v>85</v>
      </c>
    </row>
    <row r="94" spans="1:34" x14ac:dyDescent="0.3">
      <c r="A94" s="5">
        <v>45677</v>
      </c>
      <c r="B94">
        <v>8791</v>
      </c>
      <c r="C94" t="s">
        <v>272</v>
      </c>
      <c r="D94" t="s">
        <v>85</v>
      </c>
      <c r="E94" t="s">
        <v>85</v>
      </c>
      <c r="F94" t="s">
        <v>85</v>
      </c>
      <c r="G94">
        <v>0</v>
      </c>
      <c r="H94" t="s">
        <v>86</v>
      </c>
      <c r="I94" t="b">
        <v>0</v>
      </c>
      <c r="J94">
        <v>32328</v>
      </c>
      <c r="K94">
        <v>3</v>
      </c>
      <c r="L94" t="s">
        <v>273</v>
      </c>
      <c r="M94">
        <v>9341453574533460</v>
      </c>
      <c r="N94" t="s">
        <v>274</v>
      </c>
      <c r="O94">
        <v>763248</v>
      </c>
      <c r="P94" s="5">
        <v>45657</v>
      </c>
      <c r="Q94" t="s">
        <v>89</v>
      </c>
      <c r="R94" t="s">
        <v>90</v>
      </c>
      <c r="S94">
        <v>369</v>
      </c>
      <c r="T94" t="s">
        <v>219</v>
      </c>
      <c r="U94">
        <v>31</v>
      </c>
      <c r="V94" t="s">
        <v>92</v>
      </c>
      <c r="W94">
        <v>463.38</v>
      </c>
      <c r="X94" t="s">
        <v>275</v>
      </c>
      <c r="Y94">
        <v>16</v>
      </c>
      <c r="Z94" t="s">
        <v>276</v>
      </c>
      <c r="AA94">
        <v>1</v>
      </c>
      <c r="AB94" t="s">
        <v>263</v>
      </c>
      <c r="AC94" t="s">
        <v>85</v>
      </c>
      <c r="AD94" t="s">
        <v>85</v>
      </c>
      <c r="AE94" t="s">
        <v>97</v>
      </c>
      <c r="AF94" t="s">
        <v>85</v>
      </c>
      <c r="AG94" t="s">
        <v>85</v>
      </c>
      <c r="AH94" t="s">
        <v>85</v>
      </c>
    </row>
    <row r="95" spans="1:34" x14ac:dyDescent="0.3">
      <c r="A95" s="5">
        <v>45658</v>
      </c>
      <c r="B95">
        <v>8810</v>
      </c>
      <c r="C95" t="s">
        <v>277</v>
      </c>
      <c r="D95" t="s">
        <v>85</v>
      </c>
      <c r="E95" t="s">
        <v>85</v>
      </c>
      <c r="F95" t="s">
        <v>85</v>
      </c>
      <c r="G95">
        <v>0</v>
      </c>
      <c r="H95" t="s">
        <v>86</v>
      </c>
      <c r="I95" t="b">
        <v>0</v>
      </c>
      <c r="J95">
        <v>32330</v>
      </c>
      <c r="K95">
        <v>3</v>
      </c>
      <c r="L95" t="s">
        <v>278</v>
      </c>
      <c r="M95">
        <v>9341453574533460</v>
      </c>
      <c r="N95" t="s">
        <v>279</v>
      </c>
      <c r="O95">
        <v>763256</v>
      </c>
      <c r="P95" s="5">
        <v>45657</v>
      </c>
      <c r="Q95" t="s">
        <v>89</v>
      </c>
      <c r="R95" t="s">
        <v>90</v>
      </c>
      <c r="S95">
        <v>576</v>
      </c>
      <c r="T95" t="s">
        <v>234</v>
      </c>
      <c r="U95">
        <v>31</v>
      </c>
      <c r="V95" t="s">
        <v>92</v>
      </c>
      <c r="W95">
        <v>1031.44</v>
      </c>
      <c r="X95" t="s">
        <v>280</v>
      </c>
      <c r="Y95">
        <v>16</v>
      </c>
      <c r="Z95" t="s">
        <v>102</v>
      </c>
      <c r="AA95">
        <v>1</v>
      </c>
      <c r="AB95" t="s">
        <v>263</v>
      </c>
      <c r="AC95" t="s">
        <v>85</v>
      </c>
      <c r="AD95" t="s">
        <v>85</v>
      </c>
      <c r="AE95" t="s">
        <v>103</v>
      </c>
      <c r="AF95" t="s">
        <v>85</v>
      </c>
      <c r="AG95" t="s">
        <v>85</v>
      </c>
      <c r="AH95" t="s">
        <v>85</v>
      </c>
    </row>
    <row r="96" spans="1:34" x14ac:dyDescent="0.3">
      <c r="A96" s="5">
        <v>45677</v>
      </c>
      <c r="B96">
        <v>8798</v>
      </c>
      <c r="C96" t="s">
        <v>281</v>
      </c>
      <c r="D96" t="s">
        <v>85</v>
      </c>
      <c r="E96" t="s">
        <v>85</v>
      </c>
      <c r="F96" t="s">
        <v>85</v>
      </c>
      <c r="G96">
        <v>0</v>
      </c>
      <c r="H96" t="s">
        <v>86</v>
      </c>
      <c r="I96" t="b">
        <v>0</v>
      </c>
      <c r="J96">
        <v>32332</v>
      </c>
      <c r="K96">
        <v>3</v>
      </c>
      <c r="L96" t="s">
        <v>282</v>
      </c>
      <c r="M96">
        <v>9341453574533460</v>
      </c>
      <c r="N96" t="s">
        <v>283</v>
      </c>
      <c r="O96">
        <v>763291</v>
      </c>
      <c r="P96" s="5">
        <v>45657</v>
      </c>
      <c r="Q96" t="s">
        <v>89</v>
      </c>
      <c r="R96" t="s">
        <v>90</v>
      </c>
      <c r="S96">
        <v>468</v>
      </c>
      <c r="T96" t="s">
        <v>226</v>
      </c>
      <c r="U96">
        <v>31</v>
      </c>
      <c r="V96" t="s">
        <v>92</v>
      </c>
      <c r="W96">
        <v>185.32</v>
      </c>
      <c r="X96" t="s">
        <v>284</v>
      </c>
      <c r="Y96">
        <v>16</v>
      </c>
      <c r="Z96" t="s">
        <v>97</v>
      </c>
      <c r="AA96">
        <v>1</v>
      </c>
      <c r="AB96" t="s">
        <v>263</v>
      </c>
      <c r="AC96" t="s">
        <v>85</v>
      </c>
      <c r="AD96" t="s">
        <v>85</v>
      </c>
      <c r="AE96" t="s">
        <v>85</v>
      </c>
      <c r="AF96" t="s">
        <v>85</v>
      </c>
      <c r="AG96" t="s">
        <v>85</v>
      </c>
      <c r="AH96" t="s">
        <v>85</v>
      </c>
    </row>
    <row r="97" spans="1:34" x14ac:dyDescent="0.3">
      <c r="A97" s="5">
        <v>45647</v>
      </c>
      <c r="B97">
        <v>8813</v>
      </c>
      <c r="C97" t="s">
        <v>200</v>
      </c>
      <c r="D97" t="s">
        <v>85</v>
      </c>
      <c r="E97" t="s">
        <v>85</v>
      </c>
      <c r="F97" t="s">
        <v>85</v>
      </c>
      <c r="G97">
        <v>0</v>
      </c>
      <c r="H97" t="s">
        <v>86</v>
      </c>
      <c r="I97" t="b">
        <v>0</v>
      </c>
      <c r="J97">
        <v>35233</v>
      </c>
      <c r="K97">
        <v>2</v>
      </c>
      <c r="L97" t="s">
        <v>285</v>
      </c>
      <c r="M97">
        <v>9341453574533460</v>
      </c>
      <c r="N97" t="s">
        <v>286</v>
      </c>
      <c r="O97">
        <v>503463</v>
      </c>
      <c r="P97" s="5">
        <v>45627</v>
      </c>
      <c r="Q97" t="s">
        <v>89</v>
      </c>
      <c r="R97" t="s">
        <v>90</v>
      </c>
      <c r="S97">
        <v>316</v>
      </c>
      <c r="T97" t="s">
        <v>200</v>
      </c>
      <c r="U97">
        <v>31</v>
      </c>
      <c r="V97" t="s">
        <v>92</v>
      </c>
      <c r="W97">
        <v>169.34</v>
      </c>
      <c r="X97" t="s">
        <v>287</v>
      </c>
      <c r="Y97">
        <v>16</v>
      </c>
      <c r="Z97" t="s">
        <v>85</v>
      </c>
      <c r="AA97">
        <v>1</v>
      </c>
      <c r="AB97" t="s">
        <v>263</v>
      </c>
      <c r="AC97" t="s">
        <v>85</v>
      </c>
      <c r="AD97" t="s">
        <v>85</v>
      </c>
      <c r="AE97" t="s">
        <v>85</v>
      </c>
      <c r="AF97" t="s">
        <v>85</v>
      </c>
      <c r="AG97" t="s">
        <v>85</v>
      </c>
      <c r="AH97" t="s">
        <v>85</v>
      </c>
    </row>
    <row r="98" spans="1:34" x14ac:dyDescent="0.3">
      <c r="A98" s="5">
        <v>45650</v>
      </c>
      <c r="B98">
        <v>3300</v>
      </c>
      <c r="C98" t="s">
        <v>288</v>
      </c>
      <c r="D98" t="s">
        <v>289</v>
      </c>
      <c r="E98" t="s">
        <v>112</v>
      </c>
      <c r="F98">
        <v>96785</v>
      </c>
      <c r="G98">
        <v>0</v>
      </c>
      <c r="H98" t="s">
        <v>86</v>
      </c>
      <c r="I98" t="b">
        <v>0</v>
      </c>
      <c r="J98">
        <v>35257</v>
      </c>
      <c r="K98">
        <v>2</v>
      </c>
      <c r="L98" t="s">
        <v>290</v>
      </c>
      <c r="M98">
        <v>9341453574533460</v>
      </c>
      <c r="N98" t="s">
        <v>291</v>
      </c>
      <c r="O98">
        <v>12242024</v>
      </c>
      <c r="P98" s="5">
        <v>45650</v>
      </c>
      <c r="Q98" t="s">
        <v>89</v>
      </c>
      <c r="R98" t="s">
        <v>90</v>
      </c>
      <c r="S98">
        <v>1164</v>
      </c>
      <c r="T98" t="s">
        <v>189</v>
      </c>
      <c r="U98">
        <v>31</v>
      </c>
      <c r="V98" t="s">
        <v>92</v>
      </c>
      <c r="W98">
        <v>125</v>
      </c>
      <c r="X98" t="s">
        <v>85</v>
      </c>
      <c r="Y98">
        <v>6</v>
      </c>
      <c r="Z98" t="s">
        <v>85</v>
      </c>
      <c r="AA98">
        <v>1</v>
      </c>
      <c r="AB98" t="s">
        <v>263</v>
      </c>
      <c r="AC98" t="s">
        <v>85</v>
      </c>
      <c r="AD98" t="s">
        <v>85</v>
      </c>
      <c r="AE98" t="s">
        <v>85</v>
      </c>
      <c r="AF98" t="s">
        <v>85</v>
      </c>
      <c r="AG98" t="s">
        <v>85</v>
      </c>
      <c r="AH98" t="s">
        <v>85</v>
      </c>
    </row>
    <row r="99" spans="1:34" x14ac:dyDescent="0.3">
      <c r="A99" s="5">
        <v>45664</v>
      </c>
      <c r="B99">
        <v>227</v>
      </c>
      <c r="C99" t="s">
        <v>258</v>
      </c>
      <c r="D99" t="s">
        <v>259</v>
      </c>
      <c r="E99" t="s">
        <v>112</v>
      </c>
      <c r="F99" t="s">
        <v>260</v>
      </c>
      <c r="G99">
        <v>0</v>
      </c>
      <c r="H99" t="s">
        <v>86</v>
      </c>
      <c r="I99" t="b">
        <v>0</v>
      </c>
      <c r="J99">
        <v>35265</v>
      </c>
      <c r="K99">
        <v>2</v>
      </c>
      <c r="L99" t="s">
        <v>292</v>
      </c>
      <c r="M99">
        <v>9341453574533460</v>
      </c>
      <c r="N99" t="s">
        <v>293</v>
      </c>
      <c r="O99">
        <v>122824</v>
      </c>
      <c r="P99" s="5">
        <v>45654</v>
      </c>
      <c r="Q99" t="s">
        <v>89</v>
      </c>
      <c r="R99" t="s">
        <v>90</v>
      </c>
      <c r="S99">
        <v>491</v>
      </c>
      <c r="T99" t="s">
        <v>191</v>
      </c>
      <c r="U99">
        <v>31</v>
      </c>
      <c r="V99" t="s">
        <v>92</v>
      </c>
      <c r="W99">
        <v>1060</v>
      </c>
      <c r="X99" t="s">
        <v>85</v>
      </c>
      <c r="Y99">
        <v>8</v>
      </c>
      <c r="Z99" t="s">
        <v>85</v>
      </c>
      <c r="AA99">
        <v>1</v>
      </c>
      <c r="AB99" t="s">
        <v>263</v>
      </c>
      <c r="AC99" t="s">
        <v>85</v>
      </c>
      <c r="AD99" t="s">
        <v>85</v>
      </c>
      <c r="AE99" t="s">
        <v>85</v>
      </c>
      <c r="AF99" t="s">
        <v>85</v>
      </c>
      <c r="AG99" t="s">
        <v>85</v>
      </c>
      <c r="AH99" t="s">
        <v>85</v>
      </c>
    </row>
    <row r="100" spans="1:34" x14ac:dyDescent="0.3">
      <c r="A100" s="5">
        <v>45667</v>
      </c>
      <c r="B100">
        <v>3854</v>
      </c>
      <c r="C100" t="s">
        <v>294</v>
      </c>
      <c r="D100" t="s">
        <v>295</v>
      </c>
      <c r="E100" t="s">
        <v>112</v>
      </c>
      <c r="F100">
        <v>96720</v>
      </c>
      <c r="G100">
        <v>0</v>
      </c>
      <c r="H100" t="s">
        <v>86</v>
      </c>
      <c r="I100" t="b">
        <v>0</v>
      </c>
      <c r="J100">
        <v>35288</v>
      </c>
      <c r="K100">
        <v>7</v>
      </c>
      <c r="L100" t="s">
        <v>296</v>
      </c>
      <c r="M100">
        <v>9341453574533460</v>
      </c>
      <c r="N100" t="s">
        <v>297</v>
      </c>
      <c r="O100">
        <v>12.24</v>
      </c>
      <c r="P100" s="5">
        <v>45657</v>
      </c>
      <c r="Q100" t="s">
        <v>89</v>
      </c>
      <c r="R100" t="s">
        <v>90</v>
      </c>
      <c r="S100">
        <v>384</v>
      </c>
      <c r="T100" t="s">
        <v>194</v>
      </c>
      <c r="U100">
        <v>31</v>
      </c>
      <c r="V100" t="s">
        <v>92</v>
      </c>
      <c r="W100">
        <v>3714</v>
      </c>
      <c r="X100" t="s">
        <v>85</v>
      </c>
      <c r="Y100">
        <v>15</v>
      </c>
      <c r="Z100" t="s">
        <v>85</v>
      </c>
      <c r="AA100">
        <v>1</v>
      </c>
      <c r="AB100" t="s">
        <v>263</v>
      </c>
      <c r="AC100" t="s">
        <v>85</v>
      </c>
      <c r="AD100" t="s">
        <v>85</v>
      </c>
      <c r="AE100" t="s">
        <v>85</v>
      </c>
      <c r="AF100" t="s">
        <v>85</v>
      </c>
      <c r="AG100" t="s">
        <v>85</v>
      </c>
      <c r="AH100" t="s">
        <v>85</v>
      </c>
    </row>
    <row r="101" spans="1:34" x14ac:dyDescent="0.3">
      <c r="A101" s="5">
        <v>45687</v>
      </c>
      <c r="B101">
        <v>8812</v>
      </c>
      <c r="C101" t="s">
        <v>140</v>
      </c>
      <c r="D101" t="s">
        <v>85</v>
      </c>
      <c r="E101" t="s">
        <v>85</v>
      </c>
      <c r="F101" t="s">
        <v>85</v>
      </c>
      <c r="G101">
        <v>0</v>
      </c>
      <c r="H101" t="s">
        <v>86</v>
      </c>
      <c r="I101" t="b">
        <v>0</v>
      </c>
      <c r="J101">
        <v>35287</v>
      </c>
      <c r="K101">
        <v>4</v>
      </c>
      <c r="L101" t="s">
        <v>296</v>
      </c>
      <c r="M101">
        <v>9341453574533460</v>
      </c>
      <c r="N101" t="s">
        <v>298</v>
      </c>
      <c r="O101">
        <v>12.24</v>
      </c>
      <c r="P101" s="5">
        <v>45657</v>
      </c>
      <c r="Q101" t="s">
        <v>89</v>
      </c>
      <c r="R101" t="s">
        <v>90</v>
      </c>
      <c r="S101">
        <v>697</v>
      </c>
      <c r="T101" t="s">
        <v>213</v>
      </c>
      <c r="U101">
        <v>31</v>
      </c>
      <c r="V101" t="s">
        <v>92</v>
      </c>
      <c r="W101">
        <v>10418.030000000001</v>
      </c>
      <c r="X101" t="s">
        <v>299</v>
      </c>
      <c r="Y101">
        <v>8</v>
      </c>
      <c r="Z101" t="s">
        <v>300</v>
      </c>
      <c r="AA101">
        <v>1</v>
      </c>
      <c r="AB101" t="s">
        <v>263</v>
      </c>
      <c r="AC101" t="s">
        <v>85</v>
      </c>
      <c r="AD101" t="s">
        <v>85</v>
      </c>
      <c r="AE101" t="s">
        <v>85</v>
      </c>
      <c r="AF101" t="s">
        <v>85</v>
      </c>
      <c r="AG101" t="s">
        <v>85</v>
      </c>
      <c r="AH101" t="s">
        <v>85</v>
      </c>
    </row>
    <row r="102" spans="1:34" x14ac:dyDescent="0.3">
      <c r="A102" s="5">
        <v>45667</v>
      </c>
      <c r="B102">
        <v>8811</v>
      </c>
      <c r="C102" t="s">
        <v>182</v>
      </c>
      <c r="D102" t="s">
        <v>85</v>
      </c>
      <c r="E102" t="s">
        <v>85</v>
      </c>
      <c r="F102" t="s">
        <v>85</v>
      </c>
      <c r="G102">
        <v>0</v>
      </c>
      <c r="H102" t="s">
        <v>86</v>
      </c>
      <c r="I102" t="b">
        <v>0</v>
      </c>
      <c r="J102">
        <v>35285</v>
      </c>
      <c r="K102">
        <v>3</v>
      </c>
      <c r="L102" t="s">
        <v>296</v>
      </c>
      <c r="M102">
        <v>9341453574533460</v>
      </c>
      <c r="N102" t="s">
        <v>301</v>
      </c>
      <c r="O102">
        <v>12.24</v>
      </c>
      <c r="P102" s="5">
        <v>45657</v>
      </c>
      <c r="Q102" t="s">
        <v>89</v>
      </c>
      <c r="R102" t="s">
        <v>90</v>
      </c>
      <c r="S102">
        <v>600</v>
      </c>
      <c r="T102" t="s">
        <v>182</v>
      </c>
      <c r="U102">
        <v>31</v>
      </c>
      <c r="V102" t="s">
        <v>92</v>
      </c>
      <c r="W102">
        <v>131.32</v>
      </c>
      <c r="X102" t="s">
        <v>85</v>
      </c>
      <c r="Y102">
        <v>8</v>
      </c>
      <c r="Z102" t="s">
        <v>85</v>
      </c>
      <c r="AA102">
        <v>1</v>
      </c>
      <c r="AB102" t="s">
        <v>263</v>
      </c>
      <c r="AC102" t="s">
        <v>85</v>
      </c>
      <c r="AD102" t="s">
        <v>85</v>
      </c>
      <c r="AE102" t="s">
        <v>85</v>
      </c>
      <c r="AF102" t="s">
        <v>85</v>
      </c>
      <c r="AG102" t="s">
        <v>85</v>
      </c>
      <c r="AH102" t="s">
        <v>85</v>
      </c>
    </row>
    <row r="103" spans="1:34" x14ac:dyDescent="0.3">
      <c r="A103" s="5">
        <v>45657</v>
      </c>
      <c r="B103">
        <v>7123</v>
      </c>
      <c r="C103" t="s">
        <v>302</v>
      </c>
      <c r="D103" t="s">
        <v>303</v>
      </c>
      <c r="E103" t="s">
        <v>112</v>
      </c>
      <c r="F103">
        <v>96740</v>
      </c>
      <c r="G103">
        <v>0</v>
      </c>
      <c r="H103" t="s">
        <v>86</v>
      </c>
      <c r="I103" t="b">
        <v>0</v>
      </c>
      <c r="J103">
        <v>35284</v>
      </c>
      <c r="K103">
        <v>3</v>
      </c>
      <c r="L103" t="s">
        <v>296</v>
      </c>
      <c r="M103">
        <v>9341453574533460</v>
      </c>
      <c r="N103" t="s">
        <v>304</v>
      </c>
      <c r="O103">
        <v>159</v>
      </c>
      <c r="P103" s="5">
        <v>45657</v>
      </c>
      <c r="Q103" t="s">
        <v>89</v>
      </c>
      <c r="R103" t="s">
        <v>90</v>
      </c>
      <c r="S103">
        <v>756</v>
      </c>
      <c r="T103" t="s">
        <v>186</v>
      </c>
      <c r="U103">
        <v>31</v>
      </c>
      <c r="V103" t="s">
        <v>92</v>
      </c>
      <c r="W103">
        <v>5500</v>
      </c>
      <c r="X103" t="s">
        <v>305</v>
      </c>
      <c r="Y103">
        <v>6</v>
      </c>
      <c r="Z103" t="s">
        <v>85</v>
      </c>
      <c r="AA103">
        <v>1</v>
      </c>
      <c r="AB103" t="s">
        <v>263</v>
      </c>
      <c r="AC103" t="s">
        <v>85</v>
      </c>
      <c r="AD103" t="s">
        <v>85</v>
      </c>
      <c r="AE103" t="s">
        <v>85</v>
      </c>
      <c r="AF103" t="s">
        <v>85</v>
      </c>
      <c r="AG103" t="s">
        <v>85</v>
      </c>
      <c r="AH103" t="s">
        <v>85</v>
      </c>
    </row>
    <row r="104" spans="1:34" x14ac:dyDescent="0.3">
      <c r="A104" s="5">
        <v>45667</v>
      </c>
      <c r="B104">
        <v>211</v>
      </c>
      <c r="C104" t="s">
        <v>108</v>
      </c>
      <c r="D104" t="s">
        <v>134</v>
      </c>
      <c r="E104" t="s">
        <v>112</v>
      </c>
      <c r="F104" t="s">
        <v>306</v>
      </c>
      <c r="G104">
        <v>0</v>
      </c>
      <c r="H104" t="s">
        <v>86</v>
      </c>
      <c r="I104" t="b">
        <v>0</v>
      </c>
      <c r="J104">
        <v>35283</v>
      </c>
      <c r="K104">
        <v>3</v>
      </c>
      <c r="L104" t="s">
        <v>296</v>
      </c>
      <c r="M104">
        <v>9341453574533460</v>
      </c>
      <c r="N104" t="s">
        <v>307</v>
      </c>
      <c r="O104">
        <v>12.202400000000001</v>
      </c>
      <c r="P104" s="5">
        <v>45657</v>
      </c>
      <c r="Q104" t="s">
        <v>89</v>
      </c>
      <c r="R104" t="s">
        <v>90</v>
      </c>
      <c r="S104">
        <v>474</v>
      </c>
      <c r="T104" t="s">
        <v>104</v>
      </c>
      <c r="U104">
        <v>31</v>
      </c>
      <c r="V104" t="s">
        <v>92</v>
      </c>
      <c r="W104">
        <v>1722</v>
      </c>
      <c r="X104" t="s">
        <v>85</v>
      </c>
      <c r="Y104">
        <v>8</v>
      </c>
      <c r="Z104" t="s">
        <v>85</v>
      </c>
      <c r="AA104">
        <v>1</v>
      </c>
      <c r="AB104" t="s">
        <v>263</v>
      </c>
      <c r="AC104" t="s">
        <v>85</v>
      </c>
      <c r="AD104" t="s">
        <v>85</v>
      </c>
      <c r="AE104" t="s">
        <v>85</v>
      </c>
      <c r="AF104" t="s">
        <v>85</v>
      </c>
      <c r="AG104" t="s">
        <v>85</v>
      </c>
      <c r="AH104" t="s">
        <v>85</v>
      </c>
    </row>
    <row r="105" spans="1:34" x14ac:dyDescent="0.3">
      <c r="A105" s="5">
        <v>45657</v>
      </c>
      <c r="B105">
        <v>8803</v>
      </c>
      <c r="C105" t="s">
        <v>308</v>
      </c>
      <c r="D105" t="s">
        <v>85</v>
      </c>
      <c r="E105" t="s">
        <v>85</v>
      </c>
      <c r="F105" t="s">
        <v>85</v>
      </c>
      <c r="G105">
        <v>0</v>
      </c>
      <c r="H105" t="s">
        <v>86</v>
      </c>
      <c r="I105" t="b">
        <v>0</v>
      </c>
      <c r="J105">
        <v>35289</v>
      </c>
      <c r="K105">
        <v>3</v>
      </c>
      <c r="L105" t="s">
        <v>309</v>
      </c>
      <c r="M105">
        <v>9341453574533460</v>
      </c>
      <c r="N105" t="s">
        <v>310</v>
      </c>
      <c r="O105">
        <v>12.24</v>
      </c>
      <c r="P105" s="5">
        <v>45657</v>
      </c>
      <c r="Q105" t="s">
        <v>89</v>
      </c>
      <c r="R105" t="s">
        <v>90</v>
      </c>
      <c r="S105">
        <v>540</v>
      </c>
      <c r="T105" t="s">
        <v>198</v>
      </c>
      <c r="U105">
        <v>31</v>
      </c>
      <c r="V105" t="s">
        <v>92</v>
      </c>
      <c r="W105">
        <v>4282.6499999999996</v>
      </c>
      <c r="X105" t="s">
        <v>311</v>
      </c>
      <c r="Y105">
        <v>6</v>
      </c>
      <c r="Z105" t="s">
        <v>312</v>
      </c>
      <c r="AA105">
        <v>1</v>
      </c>
      <c r="AB105" t="s">
        <v>263</v>
      </c>
      <c r="AC105" t="s">
        <v>85</v>
      </c>
      <c r="AD105" t="s">
        <v>85</v>
      </c>
      <c r="AE105" t="s">
        <v>85</v>
      </c>
      <c r="AF105" t="s">
        <v>85</v>
      </c>
      <c r="AG105" t="s">
        <v>85</v>
      </c>
      <c r="AH105" t="s">
        <v>85</v>
      </c>
    </row>
    <row r="106" spans="1:34" x14ac:dyDescent="0.3">
      <c r="A106" s="5">
        <v>45667</v>
      </c>
      <c r="B106">
        <v>8714</v>
      </c>
      <c r="C106" t="s">
        <v>313</v>
      </c>
      <c r="D106" t="s">
        <v>295</v>
      </c>
      <c r="E106" t="s">
        <v>112</v>
      </c>
      <c r="F106">
        <v>96721</v>
      </c>
      <c r="G106">
        <v>0</v>
      </c>
      <c r="H106" t="s">
        <v>86</v>
      </c>
      <c r="I106" t="b">
        <v>0</v>
      </c>
      <c r="J106">
        <v>35298</v>
      </c>
      <c r="K106">
        <v>3</v>
      </c>
      <c r="L106" t="s">
        <v>314</v>
      </c>
      <c r="M106">
        <v>9341453574533460</v>
      </c>
      <c r="N106" t="s">
        <v>315</v>
      </c>
      <c r="O106">
        <v>12.24</v>
      </c>
      <c r="P106" s="5">
        <v>45657</v>
      </c>
      <c r="Q106" t="s">
        <v>89</v>
      </c>
      <c r="R106" t="s">
        <v>90</v>
      </c>
      <c r="S106">
        <v>1222</v>
      </c>
      <c r="T106" t="s">
        <v>210</v>
      </c>
      <c r="U106">
        <v>31</v>
      </c>
      <c r="V106" t="s">
        <v>92</v>
      </c>
      <c r="W106">
        <v>2862</v>
      </c>
      <c r="X106" t="s">
        <v>85</v>
      </c>
      <c r="Y106">
        <v>8</v>
      </c>
      <c r="Z106" t="s">
        <v>85</v>
      </c>
      <c r="AA106">
        <v>1</v>
      </c>
      <c r="AB106" t="s">
        <v>263</v>
      </c>
      <c r="AC106" t="s">
        <v>85</v>
      </c>
      <c r="AD106" t="s">
        <v>85</v>
      </c>
      <c r="AE106" t="s">
        <v>85</v>
      </c>
      <c r="AF106" t="s">
        <v>85</v>
      </c>
      <c r="AG106" t="s">
        <v>85</v>
      </c>
      <c r="AH106" t="s">
        <v>85</v>
      </c>
    </row>
    <row r="107" spans="1:34" x14ac:dyDescent="0.3">
      <c r="A107" s="5">
        <v>45657</v>
      </c>
      <c r="B107">
        <v>188</v>
      </c>
      <c r="C107" t="s">
        <v>316</v>
      </c>
      <c r="D107" t="s">
        <v>134</v>
      </c>
      <c r="E107" t="s">
        <v>112</v>
      </c>
      <c r="F107" t="s">
        <v>317</v>
      </c>
      <c r="G107">
        <v>0</v>
      </c>
      <c r="H107" t="s">
        <v>86</v>
      </c>
      <c r="I107" t="b">
        <v>0</v>
      </c>
      <c r="J107">
        <v>35297</v>
      </c>
      <c r="K107">
        <v>4</v>
      </c>
      <c r="L107" t="s">
        <v>314</v>
      </c>
      <c r="M107">
        <v>9341453574533460</v>
      </c>
      <c r="N107" t="s">
        <v>318</v>
      </c>
      <c r="O107" t="s">
        <v>319</v>
      </c>
      <c r="P107" s="5">
        <v>45657</v>
      </c>
      <c r="Q107" t="s">
        <v>89</v>
      </c>
      <c r="R107" t="s">
        <v>90</v>
      </c>
      <c r="S107">
        <v>424</v>
      </c>
      <c r="T107" t="s">
        <v>207</v>
      </c>
      <c r="U107">
        <v>31</v>
      </c>
      <c r="V107" t="s">
        <v>92</v>
      </c>
      <c r="W107">
        <v>88.28</v>
      </c>
      <c r="X107" t="s">
        <v>320</v>
      </c>
      <c r="Y107">
        <v>6</v>
      </c>
      <c r="Z107" t="s">
        <v>321</v>
      </c>
      <c r="AA107">
        <v>1</v>
      </c>
      <c r="AB107" t="s">
        <v>263</v>
      </c>
      <c r="AC107" t="s">
        <v>85</v>
      </c>
      <c r="AD107" t="s">
        <v>85</v>
      </c>
      <c r="AE107" t="s">
        <v>85</v>
      </c>
      <c r="AF107" t="s">
        <v>85</v>
      </c>
      <c r="AG107" t="s">
        <v>85</v>
      </c>
      <c r="AH107" t="s">
        <v>85</v>
      </c>
    </row>
    <row r="108" spans="1:34" x14ac:dyDescent="0.3">
      <c r="A108" s="5">
        <v>45657</v>
      </c>
      <c r="B108">
        <v>225</v>
      </c>
      <c r="C108" t="s">
        <v>322</v>
      </c>
      <c r="D108" t="s">
        <v>323</v>
      </c>
      <c r="E108" t="s">
        <v>112</v>
      </c>
      <c r="F108" t="s">
        <v>324</v>
      </c>
      <c r="G108">
        <v>0</v>
      </c>
      <c r="H108" t="s">
        <v>86</v>
      </c>
      <c r="I108" t="b">
        <v>0</v>
      </c>
      <c r="J108">
        <v>35296</v>
      </c>
      <c r="K108">
        <v>3</v>
      </c>
      <c r="L108" t="s">
        <v>314</v>
      </c>
      <c r="M108">
        <v>9341453574533460</v>
      </c>
      <c r="N108" t="s">
        <v>325</v>
      </c>
      <c r="O108" t="s">
        <v>326</v>
      </c>
      <c r="P108" s="5">
        <v>45657</v>
      </c>
      <c r="Q108" t="s">
        <v>89</v>
      </c>
      <c r="R108" t="s">
        <v>90</v>
      </c>
      <c r="S108">
        <v>488</v>
      </c>
      <c r="T108" t="s">
        <v>229</v>
      </c>
      <c r="U108">
        <v>31</v>
      </c>
      <c r="V108" t="s">
        <v>92</v>
      </c>
      <c r="W108">
        <v>352</v>
      </c>
      <c r="X108" t="s">
        <v>327</v>
      </c>
      <c r="Y108">
        <v>6</v>
      </c>
      <c r="Z108" t="s">
        <v>328</v>
      </c>
      <c r="AA108">
        <v>1</v>
      </c>
      <c r="AB108" t="s">
        <v>263</v>
      </c>
      <c r="AC108" t="s">
        <v>329</v>
      </c>
      <c r="AD108" t="s">
        <v>85</v>
      </c>
      <c r="AE108" t="s">
        <v>85</v>
      </c>
      <c r="AF108" t="s">
        <v>85</v>
      </c>
      <c r="AG108" t="s">
        <v>85</v>
      </c>
      <c r="AH108" t="s">
        <v>85</v>
      </c>
    </row>
    <row r="109" spans="1:34" x14ac:dyDescent="0.3">
      <c r="A109" s="5">
        <v>45657</v>
      </c>
      <c r="B109">
        <v>225</v>
      </c>
      <c r="C109" t="s">
        <v>322</v>
      </c>
      <c r="D109" t="s">
        <v>323</v>
      </c>
      <c r="E109" t="s">
        <v>112</v>
      </c>
      <c r="F109" t="s">
        <v>324</v>
      </c>
      <c r="G109">
        <v>0</v>
      </c>
      <c r="H109" t="s">
        <v>86</v>
      </c>
      <c r="I109" t="b">
        <v>0</v>
      </c>
      <c r="J109">
        <v>35295</v>
      </c>
      <c r="K109">
        <v>3</v>
      </c>
      <c r="L109" t="s">
        <v>314</v>
      </c>
      <c r="M109">
        <v>9341453574533460</v>
      </c>
      <c r="N109" t="s">
        <v>330</v>
      </c>
      <c r="O109" t="s">
        <v>331</v>
      </c>
      <c r="P109" s="5">
        <v>45657</v>
      </c>
      <c r="Q109" t="s">
        <v>89</v>
      </c>
      <c r="R109" t="s">
        <v>90</v>
      </c>
      <c r="S109">
        <v>488</v>
      </c>
      <c r="T109" t="s">
        <v>229</v>
      </c>
      <c r="U109">
        <v>31</v>
      </c>
      <c r="V109" t="s">
        <v>92</v>
      </c>
      <c r="W109">
        <v>18403.71</v>
      </c>
      <c r="X109" t="s">
        <v>327</v>
      </c>
      <c r="Y109">
        <v>6</v>
      </c>
      <c r="Z109" t="s">
        <v>328</v>
      </c>
      <c r="AA109">
        <v>1</v>
      </c>
      <c r="AB109" t="s">
        <v>263</v>
      </c>
      <c r="AC109" t="s">
        <v>85</v>
      </c>
      <c r="AD109" t="s">
        <v>85</v>
      </c>
      <c r="AE109" t="s">
        <v>85</v>
      </c>
      <c r="AF109" t="s">
        <v>85</v>
      </c>
      <c r="AG109" t="s">
        <v>85</v>
      </c>
      <c r="AH109" t="s">
        <v>85</v>
      </c>
    </row>
    <row r="110" spans="1:34" x14ac:dyDescent="0.3">
      <c r="A110" s="5">
        <v>45687</v>
      </c>
      <c r="B110">
        <v>8807</v>
      </c>
      <c r="C110" t="s">
        <v>95</v>
      </c>
      <c r="D110" t="s">
        <v>85</v>
      </c>
      <c r="E110" t="s">
        <v>85</v>
      </c>
      <c r="F110" t="s">
        <v>85</v>
      </c>
      <c r="G110">
        <v>0</v>
      </c>
      <c r="H110" t="s">
        <v>86</v>
      </c>
      <c r="I110" t="b">
        <v>0</v>
      </c>
      <c r="J110">
        <v>35294</v>
      </c>
      <c r="K110">
        <v>3</v>
      </c>
      <c r="L110" t="s">
        <v>314</v>
      </c>
      <c r="M110">
        <v>9341453574533460</v>
      </c>
      <c r="N110" t="s">
        <v>332</v>
      </c>
      <c r="O110">
        <v>856232</v>
      </c>
      <c r="P110" s="5">
        <v>45657</v>
      </c>
      <c r="Q110" t="s">
        <v>89</v>
      </c>
      <c r="R110" t="s">
        <v>90</v>
      </c>
      <c r="S110">
        <v>547</v>
      </c>
      <c r="T110" t="s">
        <v>95</v>
      </c>
      <c r="U110">
        <v>31</v>
      </c>
      <c r="V110" t="s">
        <v>92</v>
      </c>
      <c r="W110">
        <v>119.36</v>
      </c>
      <c r="X110" t="s">
        <v>85</v>
      </c>
      <c r="Y110">
        <v>8</v>
      </c>
      <c r="Z110" t="s">
        <v>85</v>
      </c>
      <c r="AA110">
        <v>1</v>
      </c>
      <c r="AB110" t="s">
        <v>263</v>
      </c>
      <c r="AC110" t="s">
        <v>85</v>
      </c>
      <c r="AD110" t="s">
        <v>85</v>
      </c>
      <c r="AE110" t="s">
        <v>85</v>
      </c>
      <c r="AF110" t="s">
        <v>85</v>
      </c>
      <c r="AG110" t="s">
        <v>85</v>
      </c>
      <c r="AH110" t="s">
        <v>85</v>
      </c>
    </row>
    <row r="111" spans="1:34" x14ac:dyDescent="0.3">
      <c r="A111" s="5">
        <v>45687</v>
      </c>
      <c r="B111">
        <v>8806</v>
      </c>
      <c r="C111" t="s">
        <v>95</v>
      </c>
      <c r="D111" t="s">
        <v>85</v>
      </c>
      <c r="E111" t="s">
        <v>85</v>
      </c>
      <c r="F111" t="s">
        <v>85</v>
      </c>
      <c r="G111">
        <v>0</v>
      </c>
      <c r="H111" t="s">
        <v>86</v>
      </c>
      <c r="I111" t="b">
        <v>0</v>
      </c>
      <c r="J111">
        <v>35293</v>
      </c>
      <c r="K111">
        <v>3</v>
      </c>
      <c r="L111" t="s">
        <v>314</v>
      </c>
      <c r="M111">
        <v>9341453574533460</v>
      </c>
      <c r="N111" t="s">
        <v>333</v>
      </c>
      <c r="O111">
        <v>856230</v>
      </c>
      <c r="P111" s="5">
        <v>45657</v>
      </c>
      <c r="Q111" t="s">
        <v>89</v>
      </c>
      <c r="R111" t="s">
        <v>90</v>
      </c>
      <c r="S111">
        <v>547</v>
      </c>
      <c r="T111" t="s">
        <v>95</v>
      </c>
      <c r="U111">
        <v>31</v>
      </c>
      <c r="V111" t="s">
        <v>92</v>
      </c>
      <c r="W111">
        <v>943</v>
      </c>
      <c r="X111" t="s">
        <v>85</v>
      </c>
      <c r="Y111">
        <v>8</v>
      </c>
      <c r="Z111" t="s">
        <v>85</v>
      </c>
      <c r="AA111">
        <v>1</v>
      </c>
      <c r="AB111" t="s">
        <v>263</v>
      </c>
      <c r="AC111" t="s">
        <v>334</v>
      </c>
      <c r="AD111" t="s">
        <v>85</v>
      </c>
      <c r="AE111" t="s">
        <v>85</v>
      </c>
      <c r="AF111" t="s">
        <v>85</v>
      </c>
      <c r="AG111" t="s">
        <v>85</v>
      </c>
      <c r="AH111" t="s">
        <v>85</v>
      </c>
    </row>
    <row r="112" spans="1:34" x14ac:dyDescent="0.3">
      <c r="A112" s="5">
        <v>45687</v>
      </c>
      <c r="B112">
        <v>8805</v>
      </c>
      <c r="C112" t="s">
        <v>95</v>
      </c>
      <c r="D112" t="s">
        <v>85</v>
      </c>
      <c r="E112" t="s">
        <v>85</v>
      </c>
      <c r="F112" t="s">
        <v>85</v>
      </c>
      <c r="G112">
        <v>0</v>
      </c>
      <c r="H112" t="s">
        <v>86</v>
      </c>
      <c r="I112" t="b">
        <v>0</v>
      </c>
      <c r="J112">
        <v>35292</v>
      </c>
      <c r="K112">
        <v>3</v>
      </c>
      <c r="L112" t="s">
        <v>314</v>
      </c>
      <c r="M112">
        <v>9341453574533460</v>
      </c>
      <c r="N112" t="s">
        <v>335</v>
      </c>
      <c r="O112">
        <v>856229</v>
      </c>
      <c r="P112" s="5">
        <v>45657</v>
      </c>
      <c r="Q112" t="s">
        <v>89</v>
      </c>
      <c r="R112" t="s">
        <v>90</v>
      </c>
      <c r="S112">
        <v>547</v>
      </c>
      <c r="T112" t="s">
        <v>95</v>
      </c>
      <c r="U112">
        <v>31</v>
      </c>
      <c r="V112" t="s">
        <v>92</v>
      </c>
      <c r="W112">
        <v>1095.3599999999999</v>
      </c>
      <c r="X112" t="s">
        <v>85</v>
      </c>
      <c r="Y112">
        <v>8</v>
      </c>
      <c r="Z112" t="s">
        <v>85</v>
      </c>
      <c r="AA112">
        <v>1</v>
      </c>
      <c r="AB112" t="s">
        <v>263</v>
      </c>
      <c r="AC112" t="s">
        <v>85</v>
      </c>
      <c r="AD112" t="s">
        <v>85</v>
      </c>
      <c r="AE112" t="s">
        <v>85</v>
      </c>
      <c r="AF112" t="s">
        <v>85</v>
      </c>
      <c r="AG112" t="s">
        <v>85</v>
      </c>
      <c r="AH112" t="s">
        <v>85</v>
      </c>
    </row>
    <row r="113" spans="1:34" x14ac:dyDescent="0.3">
      <c r="A113" s="5">
        <v>45667</v>
      </c>
      <c r="B113">
        <v>8818</v>
      </c>
      <c r="C113" t="s">
        <v>263</v>
      </c>
      <c r="D113" t="s">
        <v>85</v>
      </c>
      <c r="E113" t="s">
        <v>85</v>
      </c>
      <c r="F113" t="s">
        <v>85</v>
      </c>
      <c r="G113">
        <v>0</v>
      </c>
      <c r="H113" t="s">
        <v>86</v>
      </c>
      <c r="I113" t="b">
        <v>0</v>
      </c>
      <c r="J113">
        <v>36485</v>
      </c>
      <c r="K113">
        <v>3</v>
      </c>
      <c r="L113" t="s">
        <v>336</v>
      </c>
      <c r="M113">
        <v>9341453574533460</v>
      </c>
      <c r="N113" t="s">
        <v>337</v>
      </c>
      <c r="O113">
        <v>856234</v>
      </c>
      <c r="P113" s="5">
        <v>45657</v>
      </c>
      <c r="Q113" t="s">
        <v>89</v>
      </c>
      <c r="R113" t="s">
        <v>90</v>
      </c>
      <c r="S113">
        <v>855</v>
      </c>
      <c r="T113" t="s">
        <v>222</v>
      </c>
      <c r="U113">
        <v>31</v>
      </c>
      <c r="V113" t="s">
        <v>92</v>
      </c>
      <c r="W113">
        <v>740.4</v>
      </c>
      <c r="X113" t="s">
        <v>85</v>
      </c>
      <c r="Y113">
        <v>8</v>
      </c>
      <c r="Z113" t="s">
        <v>85</v>
      </c>
      <c r="AA113">
        <v>3</v>
      </c>
      <c r="AB113" t="s">
        <v>338</v>
      </c>
      <c r="AC113" t="s">
        <v>85</v>
      </c>
      <c r="AD113" t="s">
        <v>85</v>
      </c>
      <c r="AE113" t="s">
        <v>85</v>
      </c>
      <c r="AF113" t="s">
        <v>85</v>
      </c>
      <c r="AG113" t="s">
        <v>85</v>
      </c>
      <c r="AH113" t="s">
        <v>85</v>
      </c>
    </row>
    <row r="114" spans="1:34" x14ac:dyDescent="0.3">
      <c r="A114" s="5">
        <v>45689</v>
      </c>
      <c r="B114">
        <v>7284</v>
      </c>
      <c r="C114" t="s">
        <v>339</v>
      </c>
      <c r="D114" t="s">
        <v>85</v>
      </c>
      <c r="E114" t="s">
        <v>85</v>
      </c>
      <c r="F114" t="s">
        <v>85</v>
      </c>
      <c r="G114">
        <v>0</v>
      </c>
      <c r="H114" t="s">
        <v>86</v>
      </c>
      <c r="I114" t="b">
        <v>0</v>
      </c>
      <c r="J114">
        <v>37369</v>
      </c>
      <c r="K114">
        <v>1</v>
      </c>
      <c r="L114" t="s">
        <v>340</v>
      </c>
      <c r="M114">
        <v>9341453575116630</v>
      </c>
      <c r="N114" t="s">
        <v>236</v>
      </c>
      <c r="O114" t="s">
        <v>85</v>
      </c>
      <c r="P114" s="5">
        <v>45689</v>
      </c>
      <c r="Q114" t="s">
        <v>89</v>
      </c>
      <c r="R114" t="s">
        <v>90</v>
      </c>
      <c r="S114">
        <v>491</v>
      </c>
      <c r="T114" t="s">
        <v>191</v>
      </c>
      <c r="U114">
        <v>31</v>
      </c>
      <c r="V114" t="s">
        <v>92</v>
      </c>
      <c r="W114">
        <v>135</v>
      </c>
      <c r="X114" t="s">
        <v>258</v>
      </c>
      <c r="Y114">
        <v>15</v>
      </c>
      <c r="Z114" t="s">
        <v>341</v>
      </c>
      <c r="AA114">
        <v>1</v>
      </c>
      <c r="AB114" t="s">
        <v>263</v>
      </c>
      <c r="AC114" t="s">
        <v>85</v>
      </c>
      <c r="AD114" t="s">
        <v>85</v>
      </c>
      <c r="AE114" t="s">
        <v>85</v>
      </c>
      <c r="AF114" t="s">
        <v>85</v>
      </c>
      <c r="AG114" t="s">
        <v>85</v>
      </c>
      <c r="AH114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35A5-9F5A-4EB8-AF54-E1E6DDA13E40}">
  <dimension ref="A1:J40"/>
  <sheetViews>
    <sheetView workbookViewId="0">
      <pane ySplit="1" topLeftCell="A24" activePane="bottomLeft" state="frozen"/>
      <selection pane="bottomLeft" activeCell="A40" sqref="A40"/>
    </sheetView>
  </sheetViews>
  <sheetFormatPr defaultRowHeight="14.4" x14ac:dyDescent="0.3"/>
  <cols>
    <col min="1" max="1" width="7.44140625" bestFit="1" customWidth="1"/>
    <col min="2" max="2" width="14.6640625" bestFit="1" customWidth="1"/>
    <col min="3" max="3" width="15" bestFit="1" customWidth="1"/>
    <col min="4" max="4" width="16.5546875" bestFit="1" customWidth="1"/>
    <col min="5" max="5" width="28.6640625" bestFit="1" customWidth="1"/>
    <col min="6" max="6" width="18.77734375" bestFit="1" customWidth="1"/>
    <col min="7" max="7" width="13.109375" bestFit="1" customWidth="1"/>
    <col min="8" max="8" width="13.33203125" bestFit="1" customWidth="1"/>
    <col min="9" max="9" width="11.109375" bestFit="1" customWidth="1"/>
    <col min="10" max="10" width="5.88671875" bestFit="1" customWidth="1"/>
  </cols>
  <sheetData>
    <row r="1" spans="1:10" x14ac:dyDescent="0.3">
      <c r="A1" s="1" t="s">
        <v>7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15</v>
      </c>
      <c r="H1" s="1" t="s">
        <v>17</v>
      </c>
      <c r="I1" s="1" t="s">
        <v>18</v>
      </c>
      <c r="J1" s="1" t="s">
        <v>20</v>
      </c>
    </row>
    <row r="2" spans="1:10" x14ac:dyDescent="0.3">
      <c r="A2">
        <v>1</v>
      </c>
      <c r="B2" t="s">
        <v>2</v>
      </c>
      <c r="C2" t="s">
        <v>5</v>
      </c>
      <c r="D2">
        <v>15</v>
      </c>
      <c r="E2">
        <v>9</v>
      </c>
      <c r="F2">
        <f>D2-E2-G2</f>
        <v>6</v>
      </c>
      <c r="G2">
        <v>0</v>
      </c>
    </row>
    <row r="3" spans="1:10" x14ac:dyDescent="0.3">
      <c r="A3">
        <v>2</v>
      </c>
      <c r="B3" t="s">
        <v>8</v>
      </c>
      <c r="C3" t="s">
        <v>5</v>
      </c>
      <c r="D3">
        <v>33</v>
      </c>
      <c r="E3">
        <v>11</v>
      </c>
      <c r="F3">
        <f t="shared" ref="F3:F24" si="0">D3-E3-G3</f>
        <v>22</v>
      </c>
      <c r="G3">
        <v>0</v>
      </c>
    </row>
    <row r="4" spans="1:10" x14ac:dyDescent="0.3">
      <c r="A4">
        <v>3</v>
      </c>
      <c r="B4" t="s">
        <v>10</v>
      </c>
      <c r="C4" t="s">
        <v>5</v>
      </c>
      <c r="D4">
        <v>0</v>
      </c>
      <c r="E4">
        <v>0</v>
      </c>
      <c r="F4">
        <v>0</v>
      </c>
      <c r="G4">
        <v>0</v>
      </c>
    </row>
    <row r="5" spans="1:10" x14ac:dyDescent="0.3">
      <c r="A5">
        <v>4</v>
      </c>
      <c r="B5" t="s">
        <v>12</v>
      </c>
      <c r="C5" t="s">
        <v>5</v>
      </c>
      <c r="D5">
        <v>20</v>
      </c>
      <c r="E5">
        <v>3</v>
      </c>
      <c r="F5">
        <f t="shared" si="0"/>
        <v>17</v>
      </c>
      <c r="G5">
        <v>0</v>
      </c>
    </row>
    <row r="6" spans="1:10" x14ac:dyDescent="0.3">
      <c r="A6">
        <v>5</v>
      </c>
      <c r="B6" t="s">
        <v>13</v>
      </c>
      <c r="C6" t="s">
        <v>11</v>
      </c>
      <c r="D6">
        <v>0</v>
      </c>
      <c r="E6">
        <v>0</v>
      </c>
      <c r="F6">
        <v>0</v>
      </c>
      <c r="G6">
        <v>0</v>
      </c>
    </row>
    <row r="7" spans="1:10" x14ac:dyDescent="0.3">
      <c r="A7">
        <v>6</v>
      </c>
      <c r="B7" t="s">
        <v>14</v>
      </c>
      <c r="C7" t="s">
        <v>5</v>
      </c>
      <c r="D7">
        <v>255</v>
      </c>
      <c r="E7">
        <v>140</v>
      </c>
      <c r="F7">
        <f t="shared" si="0"/>
        <v>115</v>
      </c>
      <c r="G7">
        <v>0</v>
      </c>
    </row>
    <row r="8" spans="1:10" x14ac:dyDescent="0.3">
      <c r="A8">
        <v>7</v>
      </c>
      <c r="B8" t="s">
        <v>16</v>
      </c>
      <c r="C8" t="s">
        <v>5</v>
      </c>
      <c r="D8">
        <v>866</v>
      </c>
      <c r="E8">
        <v>15</v>
      </c>
      <c r="F8">
        <f>D8-E8-G8</f>
        <v>846</v>
      </c>
      <c r="G8">
        <v>5</v>
      </c>
    </row>
    <row r="9" spans="1:10" x14ac:dyDescent="0.3">
      <c r="A9">
        <v>8</v>
      </c>
      <c r="B9" t="s">
        <v>22</v>
      </c>
      <c r="C9" t="s">
        <v>5</v>
      </c>
      <c r="D9">
        <v>994</v>
      </c>
      <c r="E9">
        <v>281</v>
      </c>
      <c r="F9">
        <f>D9-E9-G9</f>
        <v>713</v>
      </c>
      <c r="G9">
        <v>0</v>
      </c>
    </row>
    <row r="10" spans="1:10" x14ac:dyDescent="0.3">
      <c r="A10">
        <v>9</v>
      </c>
      <c r="B10" t="s">
        <v>23</v>
      </c>
      <c r="C10" t="s">
        <v>5</v>
      </c>
      <c r="D10">
        <v>328</v>
      </c>
      <c r="E10">
        <v>66</v>
      </c>
      <c r="F10">
        <v>262</v>
      </c>
      <c r="G10">
        <v>0</v>
      </c>
    </row>
    <row r="11" spans="1:10" x14ac:dyDescent="0.3">
      <c r="A11">
        <v>10</v>
      </c>
      <c r="B11" t="s">
        <v>24</v>
      </c>
      <c r="C11" t="s">
        <v>5</v>
      </c>
      <c r="D11">
        <v>1</v>
      </c>
      <c r="E11">
        <v>0</v>
      </c>
      <c r="F11">
        <f t="shared" si="0"/>
        <v>1</v>
      </c>
      <c r="G11">
        <v>0</v>
      </c>
    </row>
    <row r="12" spans="1:10" x14ac:dyDescent="0.3">
      <c r="A12">
        <v>11</v>
      </c>
      <c r="B12" t="s">
        <v>26</v>
      </c>
      <c r="C12" t="s">
        <v>5</v>
      </c>
      <c r="D12">
        <v>3</v>
      </c>
      <c r="E12">
        <v>0</v>
      </c>
      <c r="F12">
        <f t="shared" si="0"/>
        <v>3</v>
      </c>
      <c r="G12">
        <v>0</v>
      </c>
    </row>
    <row r="13" spans="1:10" x14ac:dyDescent="0.3">
      <c r="A13">
        <v>12</v>
      </c>
      <c r="B13" t="s">
        <v>27</v>
      </c>
      <c r="C13" t="s">
        <v>5</v>
      </c>
      <c r="D13">
        <v>508</v>
      </c>
      <c r="E13">
        <v>0</v>
      </c>
      <c r="F13">
        <f t="shared" si="0"/>
        <v>508</v>
      </c>
      <c r="G13">
        <v>0</v>
      </c>
    </row>
    <row r="14" spans="1:10" x14ac:dyDescent="0.3">
      <c r="A14">
        <v>13</v>
      </c>
      <c r="B14" t="s">
        <v>28</v>
      </c>
      <c r="C14" t="s">
        <v>5</v>
      </c>
      <c r="D14">
        <v>724</v>
      </c>
      <c r="E14">
        <v>0</v>
      </c>
      <c r="F14">
        <f t="shared" si="0"/>
        <v>723</v>
      </c>
      <c r="G14">
        <v>1</v>
      </c>
    </row>
    <row r="15" spans="1:10" x14ac:dyDescent="0.3">
      <c r="A15">
        <v>14</v>
      </c>
      <c r="B15" t="s">
        <v>35</v>
      </c>
      <c r="C15" t="s">
        <v>5</v>
      </c>
      <c r="D15">
        <v>5</v>
      </c>
      <c r="E15">
        <v>0</v>
      </c>
      <c r="F15">
        <f t="shared" si="0"/>
        <v>5</v>
      </c>
      <c r="G15">
        <v>0</v>
      </c>
    </row>
    <row r="16" spans="1:10" x14ac:dyDescent="0.3">
      <c r="A16">
        <v>15</v>
      </c>
      <c r="B16" t="s">
        <v>36</v>
      </c>
      <c r="C16" t="s">
        <v>5</v>
      </c>
      <c r="D16">
        <v>281</v>
      </c>
      <c r="E16">
        <v>0</v>
      </c>
      <c r="F16">
        <f t="shared" si="0"/>
        <v>281</v>
      </c>
      <c r="G16">
        <v>0</v>
      </c>
      <c r="J16" t="s">
        <v>45</v>
      </c>
    </row>
    <row r="17" spans="1:10" x14ac:dyDescent="0.3">
      <c r="A17">
        <v>16</v>
      </c>
      <c r="B17" t="s">
        <v>37</v>
      </c>
      <c r="C17" t="s">
        <v>5</v>
      </c>
      <c r="D17">
        <v>7</v>
      </c>
      <c r="E17">
        <v>0</v>
      </c>
      <c r="F17">
        <f t="shared" si="0"/>
        <v>7</v>
      </c>
      <c r="G17">
        <v>0</v>
      </c>
    </row>
    <row r="18" spans="1:10" x14ac:dyDescent="0.3">
      <c r="A18">
        <v>17</v>
      </c>
      <c r="B18" t="s">
        <v>38</v>
      </c>
      <c r="C18" t="s">
        <v>5</v>
      </c>
      <c r="D18">
        <v>0</v>
      </c>
      <c r="E18">
        <v>0</v>
      </c>
      <c r="F18">
        <f t="shared" si="0"/>
        <v>0</v>
      </c>
      <c r="G18">
        <v>0</v>
      </c>
      <c r="J18" t="s">
        <v>46</v>
      </c>
    </row>
    <row r="19" spans="1:10" x14ac:dyDescent="0.3">
      <c r="A19">
        <v>18</v>
      </c>
      <c r="B19" t="s">
        <v>39</v>
      </c>
      <c r="C19" t="s">
        <v>5</v>
      </c>
      <c r="D19">
        <v>488</v>
      </c>
      <c r="E19">
        <v>0</v>
      </c>
      <c r="F19">
        <f t="shared" si="0"/>
        <v>488</v>
      </c>
      <c r="G19">
        <v>0</v>
      </c>
    </row>
    <row r="20" spans="1:10" x14ac:dyDescent="0.3">
      <c r="A20">
        <v>19</v>
      </c>
      <c r="B20" t="s">
        <v>40</v>
      </c>
      <c r="C20" t="s">
        <v>5</v>
      </c>
      <c r="D20">
        <v>286</v>
      </c>
      <c r="E20">
        <v>0</v>
      </c>
      <c r="F20">
        <f t="shared" si="0"/>
        <v>286</v>
      </c>
      <c r="G20">
        <v>0</v>
      </c>
    </row>
    <row r="21" spans="1:10" x14ac:dyDescent="0.3">
      <c r="A21" s="7">
        <v>20</v>
      </c>
      <c r="B21" s="7" t="s">
        <v>41</v>
      </c>
      <c r="C21" s="7" t="s">
        <v>5</v>
      </c>
      <c r="D21" s="7">
        <v>36</v>
      </c>
      <c r="E21" s="7">
        <v>0</v>
      </c>
      <c r="F21" s="7">
        <f t="shared" si="0"/>
        <v>36</v>
      </c>
      <c r="G21" s="7">
        <v>0</v>
      </c>
      <c r="J21" t="s">
        <v>343</v>
      </c>
    </row>
    <row r="22" spans="1:10" x14ac:dyDescent="0.3">
      <c r="A22" s="3">
        <v>21</v>
      </c>
      <c r="B22" s="3" t="s">
        <v>42</v>
      </c>
      <c r="C22" s="3" t="s">
        <v>9</v>
      </c>
      <c r="D22" s="3">
        <v>494</v>
      </c>
      <c r="E22" s="3">
        <v>0</v>
      </c>
      <c r="F22" s="3">
        <f t="shared" si="0"/>
        <v>493</v>
      </c>
      <c r="G22" s="3">
        <v>1</v>
      </c>
    </row>
    <row r="23" spans="1:10" x14ac:dyDescent="0.3">
      <c r="A23">
        <v>22</v>
      </c>
      <c r="B23" t="s">
        <v>43</v>
      </c>
      <c r="C23" t="s">
        <v>11</v>
      </c>
      <c r="D23">
        <v>0</v>
      </c>
      <c r="E23">
        <v>0</v>
      </c>
      <c r="F23">
        <f t="shared" si="0"/>
        <v>0</v>
      </c>
      <c r="G23">
        <v>0</v>
      </c>
      <c r="J23" t="s">
        <v>48</v>
      </c>
    </row>
    <row r="24" spans="1:10" x14ac:dyDescent="0.3">
      <c r="A24">
        <v>9</v>
      </c>
      <c r="B24" t="s">
        <v>44</v>
      </c>
      <c r="C24" t="s">
        <v>5</v>
      </c>
      <c r="D24">
        <v>345</v>
      </c>
      <c r="E24">
        <v>0</v>
      </c>
      <c r="F24">
        <f t="shared" si="0"/>
        <v>335</v>
      </c>
      <c r="G24">
        <v>10</v>
      </c>
      <c r="J24" s="6" t="s">
        <v>49</v>
      </c>
    </row>
    <row r="27" spans="1:10" x14ac:dyDescent="0.3">
      <c r="A27" s="12" t="s">
        <v>344</v>
      </c>
    </row>
    <row r="28" spans="1:10" x14ac:dyDescent="0.3">
      <c r="A28">
        <v>1</v>
      </c>
      <c r="B28" t="s">
        <v>26</v>
      </c>
      <c r="C28" t="s">
        <v>5</v>
      </c>
      <c r="D28">
        <v>1</v>
      </c>
      <c r="E28">
        <v>0</v>
      </c>
      <c r="F28">
        <f>D28-E28-G28</f>
        <v>1</v>
      </c>
      <c r="G28">
        <v>0</v>
      </c>
    </row>
    <row r="29" spans="1:10" x14ac:dyDescent="0.3">
      <c r="A29">
        <v>2</v>
      </c>
      <c r="B29" t="s">
        <v>27</v>
      </c>
      <c r="C29" t="s">
        <v>5</v>
      </c>
      <c r="D29">
        <v>12</v>
      </c>
      <c r="E29">
        <v>0</v>
      </c>
      <c r="F29">
        <f t="shared" ref="F29:F40" si="1">D29-E29-G29</f>
        <v>12</v>
      </c>
      <c r="G29">
        <v>0</v>
      </c>
    </row>
    <row r="30" spans="1:10" x14ac:dyDescent="0.3">
      <c r="A30">
        <v>3</v>
      </c>
      <c r="B30" t="s">
        <v>28</v>
      </c>
      <c r="C30" t="s">
        <v>5</v>
      </c>
      <c r="D30">
        <v>5</v>
      </c>
      <c r="E30">
        <v>0</v>
      </c>
      <c r="F30">
        <f t="shared" si="1"/>
        <v>5</v>
      </c>
      <c r="G30">
        <v>0</v>
      </c>
    </row>
    <row r="31" spans="1:10" x14ac:dyDescent="0.3">
      <c r="A31">
        <v>4</v>
      </c>
      <c r="B31" t="s">
        <v>35</v>
      </c>
      <c r="C31" t="s">
        <v>11</v>
      </c>
      <c r="D31">
        <v>0</v>
      </c>
      <c r="E31">
        <v>0</v>
      </c>
      <c r="F31">
        <f t="shared" si="1"/>
        <v>0</v>
      </c>
      <c r="G31">
        <v>0</v>
      </c>
    </row>
    <row r="32" spans="1:10" x14ac:dyDescent="0.3">
      <c r="A32">
        <v>5</v>
      </c>
      <c r="B32" t="s">
        <v>36</v>
      </c>
      <c r="C32" t="s">
        <v>5</v>
      </c>
      <c r="D32">
        <v>11</v>
      </c>
      <c r="E32">
        <v>0</v>
      </c>
      <c r="F32">
        <f t="shared" si="1"/>
        <v>11</v>
      </c>
      <c r="G32">
        <v>0</v>
      </c>
    </row>
    <row r="33" spans="1:7" x14ac:dyDescent="0.3">
      <c r="A33">
        <v>6</v>
      </c>
      <c r="B33" t="s">
        <v>37</v>
      </c>
      <c r="C33" t="s">
        <v>11</v>
      </c>
      <c r="D33">
        <v>0</v>
      </c>
      <c r="E33">
        <v>0</v>
      </c>
      <c r="F33">
        <f t="shared" si="1"/>
        <v>0</v>
      </c>
      <c r="G33">
        <v>0</v>
      </c>
    </row>
    <row r="34" spans="1:7" x14ac:dyDescent="0.3">
      <c r="A34">
        <v>7</v>
      </c>
      <c r="B34" t="s">
        <v>38</v>
      </c>
      <c r="C34" t="s">
        <v>11</v>
      </c>
      <c r="D34">
        <v>0</v>
      </c>
      <c r="E34">
        <v>0</v>
      </c>
      <c r="F34">
        <f t="shared" si="1"/>
        <v>0</v>
      </c>
      <c r="G34">
        <v>0</v>
      </c>
    </row>
    <row r="35" spans="1:7" x14ac:dyDescent="0.3">
      <c r="A35">
        <v>8</v>
      </c>
      <c r="B35" t="s">
        <v>39</v>
      </c>
      <c r="C35" t="s">
        <v>5</v>
      </c>
      <c r="D35">
        <v>67</v>
      </c>
      <c r="E35">
        <v>0</v>
      </c>
      <c r="F35">
        <f t="shared" si="1"/>
        <v>67</v>
      </c>
      <c r="G35">
        <v>0</v>
      </c>
    </row>
    <row r="36" spans="1:7" x14ac:dyDescent="0.3">
      <c r="A36">
        <v>9</v>
      </c>
      <c r="B36" t="s">
        <v>40</v>
      </c>
      <c r="C36" t="s">
        <v>5</v>
      </c>
      <c r="D36">
        <v>8</v>
      </c>
      <c r="E36">
        <v>0</v>
      </c>
      <c r="F36">
        <f t="shared" si="1"/>
        <v>8</v>
      </c>
      <c r="G36">
        <v>0</v>
      </c>
    </row>
    <row r="37" spans="1:7" x14ac:dyDescent="0.3">
      <c r="A37">
        <v>10</v>
      </c>
      <c r="B37" s="7" t="s">
        <v>41</v>
      </c>
      <c r="C37" t="s">
        <v>11</v>
      </c>
      <c r="D37">
        <v>0</v>
      </c>
      <c r="E37">
        <v>0</v>
      </c>
      <c r="F37">
        <f t="shared" si="1"/>
        <v>0</v>
      </c>
      <c r="G37">
        <v>0</v>
      </c>
    </row>
    <row r="38" spans="1:7" x14ac:dyDescent="0.3">
      <c r="A38">
        <v>11</v>
      </c>
      <c r="B38" s="7" t="s">
        <v>42</v>
      </c>
      <c r="C38" t="s">
        <v>5</v>
      </c>
      <c r="D38">
        <v>11</v>
      </c>
      <c r="E38">
        <v>0</v>
      </c>
      <c r="F38">
        <f t="shared" si="1"/>
        <v>11</v>
      </c>
      <c r="G38">
        <v>0</v>
      </c>
    </row>
    <row r="39" spans="1:7" x14ac:dyDescent="0.3">
      <c r="A39">
        <v>12</v>
      </c>
      <c r="B39" t="s">
        <v>43</v>
      </c>
      <c r="C39" t="s">
        <v>11</v>
      </c>
      <c r="D39">
        <v>0</v>
      </c>
      <c r="E39">
        <v>0</v>
      </c>
      <c r="F39">
        <f t="shared" si="1"/>
        <v>0</v>
      </c>
      <c r="G39">
        <v>0</v>
      </c>
    </row>
    <row r="40" spans="1:7" x14ac:dyDescent="0.3">
      <c r="A40">
        <v>13</v>
      </c>
      <c r="B40" t="s">
        <v>44</v>
      </c>
      <c r="C40" t="s">
        <v>5</v>
      </c>
      <c r="D40">
        <v>7</v>
      </c>
      <c r="E40">
        <v>0</v>
      </c>
      <c r="F40">
        <f t="shared" si="1"/>
        <v>7</v>
      </c>
      <c r="G40">
        <v>0</v>
      </c>
    </row>
  </sheetData>
  <dataValidations count="1">
    <dataValidation type="list" allowBlank="1" showInputMessage="1" showErrorMessage="1" sqref="C1:C24 C28:C40" xr:uid="{81987673-4498-4E3B-B774-63A09DEE5898}">
      <formula1>"Completed, Pending, NA"</formula1>
    </dataValidation>
  </dataValidations>
  <hyperlinks>
    <hyperlink ref="J24" location="Kohala_Failed_BillPayment_Bills!A1" display="There are records which are before migration" xr:uid="{1B7F1702-0DB7-4EA4-8377-F1047C7136C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D6A2-B007-4676-A319-11B0E0AE1510}">
  <dimension ref="A1:AH49"/>
  <sheetViews>
    <sheetView workbookViewId="0">
      <selection activeCell="A34" sqref="A34"/>
    </sheetView>
  </sheetViews>
  <sheetFormatPr defaultRowHeight="14.4" x14ac:dyDescent="0.3"/>
  <sheetData>
    <row r="1" spans="1:34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</row>
    <row r="2" spans="1:34" x14ac:dyDescent="0.3">
      <c r="A2" s="5">
        <v>45677</v>
      </c>
      <c r="B2">
        <v>3992</v>
      </c>
      <c r="C2" t="s">
        <v>84</v>
      </c>
      <c r="D2" t="s">
        <v>85</v>
      </c>
      <c r="E2" t="s">
        <v>85</v>
      </c>
      <c r="F2" t="s">
        <v>85</v>
      </c>
      <c r="G2">
        <v>0</v>
      </c>
      <c r="H2" t="s">
        <v>86</v>
      </c>
      <c r="I2" t="b">
        <v>0</v>
      </c>
      <c r="J2">
        <v>32344</v>
      </c>
      <c r="K2">
        <v>1</v>
      </c>
      <c r="L2" t="s">
        <v>87</v>
      </c>
      <c r="M2">
        <v>9341453574533460</v>
      </c>
      <c r="N2" t="s">
        <v>88</v>
      </c>
      <c r="O2">
        <v>763445</v>
      </c>
      <c r="P2" s="5">
        <v>45657</v>
      </c>
      <c r="Q2" t="s">
        <v>89</v>
      </c>
      <c r="R2" t="s">
        <v>90</v>
      </c>
      <c r="S2">
        <v>1011</v>
      </c>
      <c r="T2" t="s">
        <v>91</v>
      </c>
      <c r="U2">
        <v>31</v>
      </c>
      <c r="V2" t="s">
        <v>92</v>
      </c>
      <c r="W2">
        <v>460.72</v>
      </c>
      <c r="X2" t="s">
        <v>93</v>
      </c>
      <c r="Y2">
        <v>16</v>
      </c>
      <c r="Z2" t="s">
        <v>94</v>
      </c>
      <c r="AA2">
        <v>2</v>
      </c>
      <c r="AB2" t="s">
        <v>95</v>
      </c>
      <c r="AC2" t="s">
        <v>85</v>
      </c>
      <c r="AD2" t="s">
        <v>85</v>
      </c>
      <c r="AE2" t="s">
        <v>96</v>
      </c>
      <c r="AF2" t="s">
        <v>97</v>
      </c>
      <c r="AG2" t="s">
        <v>85</v>
      </c>
      <c r="AH2" t="s">
        <v>85</v>
      </c>
    </row>
    <row r="3" spans="1:34" x14ac:dyDescent="0.3">
      <c r="A3" s="5">
        <v>45677</v>
      </c>
      <c r="B3">
        <v>3993</v>
      </c>
      <c r="C3" t="s">
        <v>98</v>
      </c>
      <c r="D3" t="s">
        <v>85</v>
      </c>
      <c r="E3" t="s">
        <v>85</v>
      </c>
      <c r="F3" t="s">
        <v>85</v>
      </c>
      <c r="G3">
        <v>0</v>
      </c>
      <c r="H3" t="s">
        <v>86</v>
      </c>
      <c r="I3" t="b">
        <v>0</v>
      </c>
      <c r="J3">
        <v>32345</v>
      </c>
      <c r="K3">
        <v>1</v>
      </c>
      <c r="L3" t="s">
        <v>99</v>
      </c>
      <c r="M3">
        <v>9341453574533460</v>
      </c>
      <c r="N3" t="s">
        <v>100</v>
      </c>
      <c r="O3">
        <v>763446</v>
      </c>
      <c r="P3" s="5">
        <v>45657</v>
      </c>
      <c r="Q3" t="s">
        <v>89</v>
      </c>
      <c r="R3" t="s">
        <v>90</v>
      </c>
      <c r="S3">
        <v>1020</v>
      </c>
      <c r="T3" t="s">
        <v>101</v>
      </c>
      <c r="U3">
        <v>31</v>
      </c>
      <c r="V3" t="s">
        <v>92</v>
      </c>
      <c r="W3">
        <v>240.82</v>
      </c>
      <c r="X3" t="s">
        <v>102</v>
      </c>
      <c r="Y3">
        <v>16</v>
      </c>
      <c r="Z3" t="s">
        <v>103</v>
      </c>
      <c r="AA3">
        <v>2</v>
      </c>
      <c r="AB3" t="s">
        <v>95</v>
      </c>
      <c r="AC3" t="s">
        <v>85</v>
      </c>
      <c r="AD3" t="s">
        <v>85</v>
      </c>
      <c r="AE3" t="s">
        <v>85</v>
      </c>
      <c r="AF3" t="s">
        <v>85</v>
      </c>
      <c r="AG3" t="s">
        <v>85</v>
      </c>
      <c r="AH3" t="s">
        <v>85</v>
      </c>
    </row>
    <row r="4" spans="1:34" x14ac:dyDescent="0.3">
      <c r="A4" s="5">
        <v>45658</v>
      </c>
      <c r="B4">
        <v>4001</v>
      </c>
      <c r="C4" t="s">
        <v>104</v>
      </c>
      <c r="D4" t="s">
        <v>85</v>
      </c>
      <c r="E4" t="s">
        <v>85</v>
      </c>
      <c r="F4" t="s">
        <v>85</v>
      </c>
      <c r="G4">
        <v>0</v>
      </c>
      <c r="H4" t="s">
        <v>86</v>
      </c>
      <c r="I4" t="b">
        <v>0</v>
      </c>
      <c r="J4">
        <v>32351</v>
      </c>
      <c r="K4">
        <v>1</v>
      </c>
      <c r="L4" t="s">
        <v>105</v>
      </c>
      <c r="M4">
        <v>9341453575116630</v>
      </c>
      <c r="N4" t="s">
        <v>106</v>
      </c>
      <c r="O4">
        <v>12.24</v>
      </c>
      <c r="P4" s="5">
        <v>45657</v>
      </c>
      <c r="Q4" t="s">
        <v>89</v>
      </c>
      <c r="R4" t="s">
        <v>90</v>
      </c>
      <c r="S4">
        <v>961</v>
      </c>
      <c r="T4" t="s">
        <v>107</v>
      </c>
      <c r="U4">
        <v>31</v>
      </c>
      <c r="V4" t="s">
        <v>92</v>
      </c>
      <c r="W4">
        <v>990</v>
      </c>
      <c r="X4" t="s">
        <v>108</v>
      </c>
      <c r="Y4">
        <v>15</v>
      </c>
      <c r="Z4" t="s">
        <v>109</v>
      </c>
      <c r="AA4">
        <v>2</v>
      </c>
      <c r="AB4" t="s">
        <v>95</v>
      </c>
      <c r="AC4" t="s">
        <v>85</v>
      </c>
      <c r="AD4" t="s">
        <v>85</v>
      </c>
      <c r="AE4" t="s">
        <v>85</v>
      </c>
      <c r="AF4" t="s">
        <v>85</v>
      </c>
      <c r="AG4" t="s">
        <v>85</v>
      </c>
      <c r="AH4" t="s">
        <v>85</v>
      </c>
    </row>
    <row r="5" spans="1:34" x14ac:dyDescent="0.3">
      <c r="A5" s="5">
        <v>45661</v>
      </c>
      <c r="B5">
        <v>488</v>
      </c>
      <c r="C5" t="s">
        <v>110</v>
      </c>
      <c r="D5" t="s">
        <v>111</v>
      </c>
      <c r="E5" t="s">
        <v>112</v>
      </c>
      <c r="F5" t="s">
        <v>113</v>
      </c>
      <c r="G5">
        <v>0</v>
      </c>
      <c r="H5" t="s">
        <v>86</v>
      </c>
      <c r="I5" t="b">
        <v>0</v>
      </c>
      <c r="J5">
        <v>36122</v>
      </c>
      <c r="K5">
        <v>2</v>
      </c>
      <c r="L5" t="s">
        <v>114</v>
      </c>
      <c r="M5">
        <v>9341453574533460</v>
      </c>
      <c r="N5" t="s">
        <v>115</v>
      </c>
      <c r="O5">
        <v>45011</v>
      </c>
      <c r="P5" s="5">
        <v>45631</v>
      </c>
      <c r="Q5" t="s">
        <v>89</v>
      </c>
      <c r="R5" t="s">
        <v>90</v>
      </c>
      <c r="S5">
        <v>985</v>
      </c>
      <c r="T5" t="s">
        <v>116</v>
      </c>
      <c r="U5">
        <v>31</v>
      </c>
      <c r="V5" t="s">
        <v>92</v>
      </c>
      <c r="W5">
        <v>242.9</v>
      </c>
      <c r="X5" t="s">
        <v>85</v>
      </c>
      <c r="Y5">
        <v>8</v>
      </c>
      <c r="Z5" t="s">
        <v>85</v>
      </c>
      <c r="AA5">
        <v>2</v>
      </c>
      <c r="AB5" t="s">
        <v>95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</row>
    <row r="6" spans="1:34" x14ac:dyDescent="0.3">
      <c r="A6" s="5">
        <v>45672</v>
      </c>
      <c r="B6">
        <v>3179</v>
      </c>
      <c r="C6" t="s">
        <v>117</v>
      </c>
      <c r="D6" t="s">
        <v>111</v>
      </c>
      <c r="E6" t="s">
        <v>112</v>
      </c>
      <c r="F6">
        <v>96743</v>
      </c>
      <c r="G6">
        <v>0</v>
      </c>
      <c r="H6" t="s">
        <v>86</v>
      </c>
      <c r="I6" t="b">
        <v>0</v>
      </c>
      <c r="J6">
        <v>36143</v>
      </c>
      <c r="K6">
        <v>2</v>
      </c>
      <c r="L6" t="s">
        <v>118</v>
      </c>
      <c r="M6">
        <v>9341453574533460</v>
      </c>
      <c r="N6" t="s">
        <v>119</v>
      </c>
      <c r="O6">
        <v>12.24</v>
      </c>
      <c r="P6" s="5">
        <v>45657</v>
      </c>
      <c r="Q6" t="s">
        <v>89</v>
      </c>
      <c r="R6" t="s">
        <v>90</v>
      </c>
      <c r="S6">
        <v>978</v>
      </c>
      <c r="T6" t="s">
        <v>120</v>
      </c>
      <c r="U6">
        <v>31</v>
      </c>
      <c r="V6" t="s">
        <v>92</v>
      </c>
      <c r="W6">
        <v>30210.13</v>
      </c>
      <c r="X6" t="s">
        <v>121</v>
      </c>
      <c r="Y6">
        <v>7</v>
      </c>
      <c r="Z6" t="s">
        <v>85</v>
      </c>
      <c r="AA6">
        <v>2</v>
      </c>
      <c r="AB6" t="s">
        <v>95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</row>
    <row r="7" spans="1:34" x14ac:dyDescent="0.3">
      <c r="A7" s="5">
        <v>45687</v>
      </c>
      <c r="B7">
        <v>6934</v>
      </c>
      <c r="C7" t="s">
        <v>122</v>
      </c>
      <c r="D7" t="s">
        <v>85</v>
      </c>
      <c r="E7" t="s">
        <v>85</v>
      </c>
      <c r="F7" t="s">
        <v>85</v>
      </c>
      <c r="G7">
        <v>0</v>
      </c>
      <c r="H7" t="s">
        <v>86</v>
      </c>
      <c r="I7" t="b">
        <v>0</v>
      </c>
      <c r="J7">
        <v>36142</v>
      </c>
      <c r="K7">
        <v>3</v>
      </c>
      <c r="L7" t="s">
        <v>118</v>
      </c>
      <c r="M7">
        <v>9341453575116630</v>
      </c>
      <c r="N7" t="s">
        <v>123</v>
      </c>
      <c r="O7" t="s">
        <v>124</v>
      </c>
      <c r="P7" s="5">
        <v>45657</v>
      </c>
      <c r="Q7" t="s">
        <v>89</v>
      </c>
      <c r="R7" t="s">
        <v>90</v>
      </c>
      <c r="S7">
        <v>967</v>
      </c>
      <c r="T7" t="s">
        <v>125</v>
      </c>
      <c r="U7">
        <v>31</v>
      </c>
      <c r="V7" t="s">
        <v>92</v>
      </c>
      <c r="W7">
        <v>740.71</v>
      </c>
      <c r="X7" t="s">
        <v>126</v>
      </c>
      <c r="Y7">
        <v>8</v>
      </c>
      <c r="Z7" t="s">
        <v>127</v>
      </c>
      <c r="AA7">
        <v>2</v>
      </c>
      <c r="AB7" t="s">
        <v>95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</row>
    <row r="8" spans="1:34" x14ac:dyDescent="0.3">
      <c r="A8" s="5">
        <v>45657</v>
      </c>
      <c r="B8">
        <v>466</v>
      </c>
      <c r="C8" t="s">
        <v>128</v>
      </c>
      <c r="D8" t="s">
        <v>129</v>
      </c>
      <c r="E8" t="s">
        <v>112</v>
      </c>
      <c r="F8">
        <v>96740</v>
      </c>
      <c r="G8">
        <v>0</v>
      </c>
      <c r="H8" t="s">
        <v>86</v>
      </c>
      <c r="I8" t="b">
        <v>0</v>
      </c>
      <c r="J8">
        <v>36151</v>
      </c>
      <c r="K8">
        <v>2</v>
      </c>
      <c r="L8" t="s">
        <v>130</v>
      </c>
      <c r="M8">
        <v>9341453574533460</v>
      </c>
      <c r="N8" t="s">
        <v>131</v>
      </c>
      <c r="O8">
        <v>856235</v>
      </c>
      <c r="P8" s="5">
        <v>45657</v>
      </c>
      <c r="Q8" t="s">
        <v>89</v>
      </c>
      <c r="R8" t="s">
        <v>90</v>
      </c>
      <c r="S8">
        <v>963</v>
      </c>
      <c r="T8" t="s">
        <v>132</v>
      </c>
      <c r="U8">
        <v>31</v>
      </c>
      <c r="V8" t="s">
        <v>92</v>
      </c>
      <c r="W8">
        <v>50.22</v>
      </c>
      <c r="X8" t="s">
        <v>85</v>
      </c>
      <c r="Y8">
        <v>6</v>
      </c>
      <c r="Z8" t="s">
        <v>85</v>
      </c>
      <c r="AA8">
        <v>2</v>
      </c>
      <c r="AB8" t="s">
        <v>95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</row>
    <row r="9" spans="1:34" x14ac:dyDescent="0.3">
      <c r="A9" s="5">
        <v>45687</v>
      </c>
      <c r="B9">
        <v>3113</v>
      </c>
      <c r="C9" t="s">
        <v>133</v>
      </c>
      <c r="D9" t="s">
        <v>134</v>
      </c>
      <c r="E9" t="s">
        <v>112</v>
      </c>
      <c r="F9" t="s">
        <v>135</v>
      </c>
      <c r="G9">
        <v>0</v>
      </c>
      <c r="H9" t="s">
        <v>86</v>
      </c>
      <c r="I9" t="b">
        <v>0</v>
      </c>
      <c r="J9">
        <v>36150</v>
      </c>
      <c r="K9">
        <v>2</v>
      </c>
      <c r="L9" t="s">
        <v>130</v>
      </c>
      <c r="M9">
        <v>9341453574533460</v>
      </c>
      <c r="N9" t="s">
        <v>119</v>
      </c>
      <c r="O9" t="s">
        <v>136</v>
      </c>
      <c r="P9" s="5">
        <v>45657</v>
      </c>
      <c r="Q9" t="s">
        <v>89</v>
      </c>
      <c r="R9" t="s">
        <v>90</v>
      </c>
      <c r="S9">
        <v>968</v>
      </c>
      <c r="T9" t="s">
        <v>137</v>
      </c>
      <c r="U9">
        <v>31</v>
      </c>
      <c r="V9" t="s">
        <v>92</v>
      </c>
      <c r="W9">
        <v>10332.32</v>
      </c>
      <c r="X9" t="s">
        <v>138</v>
      </c>
      <c r="Y9">
        <v>8</v>
      </c>
      <c r="Z9" t="s">
        <v>85</v>
      </c>
      <c r="AA9">
        <v>2</v>
      </c>
      <c r="AB9" t="s">
        <v>95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</row>
    <row r="10" spans="1:34" x14ac:dyDescent="0.3">
      <c r="A10" s="5">
        <v>45672</v>
      </c>
      <c r="B10">
        <v>3179</v>
      </c>
      <c r="C10" t="s">
        <v>117</v>
      </c>
      <c r="D10" t="s">
        <v>111</v>
      </c>
      <c r="E10" t="s">
        <v>112</v>
      </c>
      <c r="F10">
        <v>96743</v>
      </c>
      <c r="G10">
        <v>0</v>
      </c>
      <c r="H10" t="s">
        <v>86</v>
      </c>
      <c r="I10" t="b">
        <v>0</v>
      </c>
      <c r="J10">
        <v>36149</v>
      </c>
      <c r="K10">
        <v>2</v>
      </c>
      <c r="L10" t="s">
        <v>130</v>
      </c>
      <c r="M10">
        <v>9341453574533460</v>
      </c>
      <c r="N10" t="s">
        <v>119</v>
      </c>
      <c r="O10">
        <v>122024</v>
      </c>
      <c r="P10" s="5">
        <v>45657</v>
      </c>
      <c r="Q10" t="s">
        <v>89</v>
      </c>
      <c r="R10" t="s">
        <v>90</v>
      </c>
      <c r="S10">
        <v>978</v>
      </c>
      <c r="T10" t="s">
        <v>120</v>
      </c>
      <c r="U10">
        <v>31</v>
      </c>
      <c r="V10" t="s">
        <v>92</v>
      </c>
      <c r="W10">
        <v>80.510000000000005</v>
      </c>
      <c r="X10" t="s">
        <v>121</v>
      </c>
      <c r="Y10">
        <v>7</v>
      </c>
      <c r="Z10" t="s">
        <v>85</v>
      </c>
      <c r="AA10">
        <v>2</v>
      </c>
      <c r="AB10" t="s">
        <v>95</v>
      </c>
      <c r="AC10" t="s">
        <v>139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</row>
    <row r="11" spans="1:34" x14ac:dyDescent="0.3">
      <c r="A11" s="5">
        <v>45687</v>
      </c>
      <c r="B11">
        <v>6853</v>
      </c>
      <c r="C11" t="s">
        <v>140</v>
      </c>
      <c r="D11" t="s">
        <v>85</v>
      </c>
      <c r="E11" t="s">
        <v>85</v>
      </c>
      <c r="F11" t="s">
        <v>85</v>
      </c>
      <c r="G11">
        <v>0</v>
      </c>
      <c r="H11" t="s">
        <v>86</v>
      </c>
      <c r="I11" t="b">
        <v>0</v>
      </c>
      <c r="J11">
        <v>36148</v>
      </c>
      <c r="K11">
        <v>2</v>
      </c>
      <c r="L11" t="s">
        <v>130</v>
      </c>
      <c r="M11">
        <v>9341453575116630</v>
      </c>
      <c r="N11" t="s">
        <v>141</v>
      </c>
      <c r="O11">
        <v>122024</v>
      </c>
      <c r="P11" s="5">
        <v>45657</v>
      </c>
      <c r="Q11" t="s">
        <v>89</v>
      </c>
      <c r="R11" t="s">
        <v>90</v>
      </c>
      <c r="S11">
        <v>1091</v>
      </c>
      <c r="T11" t="s">
        <v>142</v>
      </c>
      <c r="U11">
        <v>31</v>
      </c>
      <c r="V11" t="s">
        <v>92</v>
      </c>
      <c r="W11">
        <v>12.75</v>
      </c>
      <c r="X11" t="s">
        <v>143</v>
      </c>
      <c r="Y11">
        <v>8</v>
      </c>
      <c r="Z11" t="s">
        <v>144</v>
      </c>
      <c r="AA11">
        <v>2</v>
      </c>
      <c r="AB11" t="s">
        <v>95</v>
      </c>
      <c r="AC11" t="s">
        <v>139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</row>
    <row r="12" spans="1:34" x14ac:dyDescent="0.3">
      <c r="A12" s="5">
        <v>45657</v>
      </c>
      <c r="B12">
        <v>466</v>
      </c>
      <c r="C12" t="s">
        <v>128</v>
      </c>
      <c r="D12" t="s">
        <v>129</v>
      </c>
      <c r="E12" t="s">
        <v>112</v>
      </c>
      <c r="F12">
        <v>96740</v>
      </c>
      <c r="G12">
        <v>0</v>
      </c>
      <c r="H12" t="s">
        <v>86</v>
      </c>
      <c r="I12" t="b">
        <v>0</v>
      </c>
      <c r="J12">
        <v>36147</v>
      </c>
      <c r="K12">
        <v>2</v>
      </c>
      <c r="L12" t="s">
        <v>130</v>
      </c>
      <c r="M12">
        <v>9341453574533460</v>
      </c>
      <c r="N12" t="s">
        <v>119</v>
      </c>
      <c r="O12">
        <v>763428</v>
      </c>
      <c r="P12" s="5">
        <v>45657</v>
      </c>
      <c r="Q12" t="s">
        <v>89</v>
      </c>
      <c r="R12" t="s">
        <v>90</v>
      </c>
      <c r="S12">
        <v>963</v>
      </c>
      <c r="T12" t="s">
        <v>132</v>
      </c>
      <c r="U12">
        <v>31</v>
      </c>
      <c r="V12" t="s">
        <v>92</v>
      </c>
      <c r="W12">
        <v>1583.65</v>
      </c>
      <c r="X12" t="s">
        <v>85</v>
      </c>
      <c r="Y12">
        <v>6</v>
      </c>
      <c r="Z12" t="s">
        <v>85</v>
      </c>
      <c r="AA12">
        <v>2</v>
      </c>
      <c r="AB12" t="s">
        <v>95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</row>
    <row r="13" spans="1:34" x14ac:dyDescent="0.3">
      <c r="A13" s="5">
        <v>45657</v>
      </c>
      <c r="B13">
        <v>466</v>
      </c>
      <c r="C13" t="s">
        <v>128</v>
      </c>
      <c r="D13" t="s">
        <v>129</v>
      </c>
      <c r="E13" t="s">
        <v>112</v>
      </c>
      <c r="F13">
        <v>96740</v>
      </c>
      <c r="G13">
        <v>0</v>
      </c>
      <c r="H13" t="s">
        <v>86</v>
      </c>
      <c r="I13" t="b">
        <v>0</v>
      </c>
      <c r="J13">
        <v>36146</v>
      </c>
      <c r="K13">
        <v>2</v>
      </c>
      <c r="L13" t="s">
        <v>130</v>
      </c>
      <c r="M13">
        <v>9341453574533460</v>
      </c>
      <c r="N13" t="s">
        <v>119</v>
      </c>
      <c r="O13">
        <v>763425</v>
      </c>
      <c r="P13" s="5">
        <v>45657</v>
      </c>
      <c r="Q13" t="s">
        <v>89</v>
      </c>
      <c r="R13" t="s">
        <v>90</v>
      </c>
      <c r="S13">
        <v>963</v>
      </c>
      <c r="T13" t="s">
        <v>132</v>
      </c>
      <c r="U13">
        <v>31</v>
      </c>
      <c r="V13" t="s">
        <v>92</v>
      </c>
      <c r="W13">
        <v>11767.72</v>
      </c>
      <c r="X13" t="s">
        <v>85</v>
      </c>
      <c r="Y13">
        <v>6</v>
      </c>
      <c r="Z13" t="s">
        <v>85</v>
      </c>
      <c r="AA13">
        <v>2</v>
      </c>
      <c r="AB13" t="s">
        <v>95</v>
      </c>
      <c r="AC13" t="s">
        <v>145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</row>
    <row r="14" spans="1:34" x14ac:dyDescent="0.3">
      <c r="A14" s="5">
        <v>45657</v>
      </c>
      <c r="B14">
        <v>466</v>
      </c>
      <c r="C14" t="s">
        <v>128</v>
      </c>
      <c r="D14" t="s">
        <v>129</v>
      </c>
      <c r="E14" t="s">
        <v>112</v>
      </c>
      <c r="F14">
        <v>96740</v>
      </c>
      <c r="G14">
        <v>0</v>
      </c>
      <c r="H14" t="s">
        <v>86</v>
      </c>
      <c r="I14" t="b">
        <v>0</v>
      </c>
      <c r="J14">
        <v>36145</v>
      </c>
      <c r="K14">
        <v>2</v>
      </c>
      <c r="L14" t="s">
        <v>130</v>
      </c>
      <c r="M14">
        <v>9341453574533460</v>
      </c>
      <c r="N14" t="s">
        <v>119</v>
      </c>
      <c r="O14">
        <v>763424</v>
      </c>
      <c r="P14" s="5">
        <v>45657</v>
      </c>
      <c r="Q14" t="s">
        <v>89</v>
      </c>
      <c r="R14" t="s">
        <v>90</v>
      </c>
      <c r="S14">
        <v>963</v>
      </c>
      <c r="T14" t="s">
        <v>132</v>
      </c>
      <c r="U14">
        <v>31</v>
      </c>
      <c r="V14" t="s">
        <v>92</v>
      </c>
      <c r="W14">
        <v>121.89</v>
      </c>
      <c r="X14" t="s">
        <v>85</v>
      </c>
      <c r="Y14">
        <v>6</v>
      </c>
      <c r="Z14" t="s">
        <v>85</v>
      </c>
      <c r="AA14">
        <v>2</v>
      </c>
      <c r="AB14" t="s">
        <v>95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</row>
    <row r="15" spans="1:34" x14ac:dyDescent="0.3">
      <c r="A15" s="5">
        <v>45657</v>
      </c>
      <c r="B15">
        <v>466</v>
      </c>
      <c r="C15" t="s">
        <v>128</v>
      </c>
      <c r="D15" t="s">
        <v>129</v>
      </c>
      <c r="E15" t="s">
        <v>112</v>
      </c>
      <c r="F15">
        <v>96740</v>
      </c>
      <c r="G15">
        <v>0</v>
      </c>
      <c r="H15" t="s">
        <v>86</v>
      </c>
      <c r="I15" t="b">
        <v>0</v>
      </c>
      <c r="J15">
        <v>36144</v>
      </c>
      <c r="K15">
        <v>2</v>
      </c>
      <c r="L15" t="s">
        <v>130</v>
      </c>
      <c r="M15">
        <v>9341453574533460</v>
      </c>
      <c r="N15" t="s">
        <v>119</v>
      </c>
      <c r="O15">
        <v>763423</v>
      </c>
      <c r="P15" s="5">
        <v>45657</v>
      </c>
      <c r="Q15" t="s">
        <v>89</v>
      </c>
      <c r="R15" t="s">
        <v>90</v>
      </c>
      <c r="S15">
        <v>963</v>
      </c>
      <c r="T15" t="s">
        <v>132</v>
      </c>
      <c r="U15">
        <v>31</v>
      </c>
      <c r="V15" t="s">
        <v>92</v>
      </c>
      <c r="W15">
        <v>820.08</v>
      </c>
      <c r="X15" t="s">
        <v>85</v>
      </c>
      <c r="Y15">
        <v>6</v>
      </c>
      <c r="Z15" t="s">
        <v>85</v>
      </c>
      <c r="AA15">
        <v>2</v>
      </c>
      <c r="AB15" t="s">
        <v>95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</row>
    <row r="16" spans="1:34" x14ac:dyDescent="0.3">
      <c r="A16" s="5">
        <v>45687</v>
      </c>
      <c r="B16">
        <v>6941</v>
      </c>
      <c r="C16" t="s">
        <v>140</v>
      </c>
      <c r="D16" t="s">
        <v>85</v>
      </c>
      <c r="E16" t="s">
        <v>85</v>
      </c>
      <c r="F16" t="s">
        <v>85</v>
      </c>
      <c r="G16">
        <v>0</v>
      </c>
      <c r="H16" t="s">
        <v>86</v>
      </c>
      <c r="I16" t="b">
        <v>0</v>
      </c>
      <c r="J16">
        <v>36697</v>
      </c>
      <c r="K16">
        <v>1</v>
      </c>
      <c r="L16" t="s">
        <v>146</v>
      </c>
      <c r="M16">
        <v>9341453575116630</v>
      </c>
      <c r="N16" t="s">
        <v>141</v>
      </c>
      <c r="O16">
        <v>12.202400000000001</v>
      </c>
      <c r="P16" s="5">
        <v>45657</v>
      </c>
      <c r="Q16" t="s">
        <v>89</v>
      </c>
      <c r="R16" t="s">
        <v>90</v>
      </c>
      <c r="S16">
        <v>1091</v>
      </c>
      <c r="T16" t="s">
        <v>142</v>
      </c>
      <c r="U16">
        <v>31</v>
      </c>
      <c r="V16" t="s">
        <v>92</v>
      </c>
      <c r="W16">
        <v>1631.97</v>
      </c>
      <c r="X16" t="s">
        <v>143</v>
      </c>
      <c r="Y16">
        <v>8</v>
      </c>
      <c r="Z16" t="s">
        <v>144</v>
      </c>
      <c r="AA16">
        <v>2</v>
      </c>
      <c r="AB16" t="s">
        <v>95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</row>
    <row r="19" spans="1:21" x14ac:dyDescent="0.3">
      <c r="A19" t="s">
        <v>147</v>
      </c>
    </row>
    <row r="20" spans="1:21" x14ac:dyDescent="0.3">
      <c r="A20" t="s">
        <v>174</v>
      </c>
    </row>
    <row r="21" spans="1:21" x14ac:dyDescent="0.3">
      <c r="A21" t="s">
        <v>68</v>
      </c>
      <c r="B21" t="s">
        <v>69</v>
      </c>
      <c r="C21" t="s">
        <v>148</v>
      </c>
      <c r="D21" t="s">
        <v>149</v>
      </c>
      <c r="E21" t="s">
        <v>72</v>
      </c>
      <c r="F21" t="s">
        <v>57</v>
      </c>
      <c r="G21" t="s">
        <v>58</v>
      </c>
      <c r="H21" t="s">
        <v>59</v>
      </c>
      <c r="I21" t="s">
        <v>60</v>
      </c>
      <c r="J21" t="s">
        <v>61</v>
      </c>
      <c r="K21" t="s">
        <v>63</v>
      </c>
      <c r="L21" t="s">
        <v>65</v>
      </c>
      <c r="M21" t="s">
        <v>66</v>
      </c>
      <c r="N21" t="s">
        <v>67</v>
      </c>
      <c r="O21" t="s">
        <v>150</v>
      </c>
      <c r="P21" t="s">
        <v>151</v>
      </c>
      <c r="Q21" t="s">
        <v>64</v>
      </c>
      <c r="R21" t="s">
        <v>76</v>
      </c>
      <c r="S21" t="s">
        <v>78</v>
      </c>
      <c r="T21" t="s">
        <v>152</v>
      </c>
      <c r="U21" t="s">
        <v>153</v>
      </c>
    </row>
    <row r="22" spans="1:21" x14ac:dyDescent="0.3">
      <c r="A22">
        <v>963</v>
      </c>
      <c r="B22" t="s">
        <v>132</v>
      </c>
      <c r="C22" t="s">
        <v>154</v>
      </c>
      <c r="D22" t="s">
        <v>155</v>
      </c>
      <c r="E22">
        <v>14343.56</v>
      </c>
      <c r="F22" t="s">
        <v>86</v>
      </c>
      <c r="G22" t="b">
        <v>0</v>
      </c>
      <c r="H22">
        <v>36209</v>
      </c>
      <c r="I22">
        <v>2</v>
      </c>
      <c r="J22" t="s">
        <v>156</v>
      </c>
      <c r="K22" t="s">
        <v>157</v>
      </c>
      <c r="L22" s="5">
        <v>45674</v>
      </c>
      <c r="M22" t="s">
        <v>89</v>
      </c>
      <c r="N22" t="s">
        <v>90</v>
      </c>
      <c r="O22">
        <v>192</v>
      </c>
      <c r="P22" t="s">
        <v>158</v>
      </c>
      <c r="Q22">
        <v>11386</v>
      </c>
      <c r="R22">
        <v>2</v>
      </c>
      <c r="S22" t="s">
        <v>85</v>
      </c>
      <c r="T22" t="s">
        <v>85</v>
      </c>
      <c r="U22" t="s">
        <v>85</v>
      </c>
    </row>
    <row r="23" spans="1:21" x14ac:dyDescent="0.3">
      <c r="A23">
        <v>985</v>
      </c>
      <c r="B23" t="s">
        <v>116</v>
      </c>
      <c r="C23" t="s">
        <v>154</v>
      </c>
      <c r="D23" t="s">
        <v>155</v>
      </c>
      <c r="E23">
        <v>242.9</v>
      </c>
      <c r="F23" t="s">
        <v>86</v>
      </c>
      <c r="G23" t="b">
        <v>0</v>
      </c>
      <c r="H23">
        <v>36210</v>
      </c>
      <c r="I23">
        <v>2</v>
      </c>
      <c r="J23" t="s">
        <v>159</v>
      </c>
      <c r="K23" t="s">
        <v>160</v>
      </c>
      <c r="L23" s="5">
        <v>45674</v>
      </c>
      <c r="M23" t="s">
        <v>89</v>
      </c>
      <c r="N23" t="s">
        <v>90</v>
      </c>
      <c r="O23">
        <v>192</v>
      </c>
      <c r="P23" t="s">
        <v>158</v>
      </c>
      <c r="Q23">
        <v>11387</v>
      </c>
      <c r="R23">
        <v>2</v>
      </c>
      <c r="S23" t="s">
        <v>85</v>
      </c>
      <c r="T23" t="s">
        <v>85</v>
      </c>
      <c r="U23" t="s">
        <v>85</v>
      </c>
    </row>
    <row r="24" spans="1:21" x14ac:dyDescent="0.3">
      <c r="A24">
        <v>967</v>
      </c>
      <c r="B24" t="s">
        <v>125</v>
      </c>
      <c r="C24" t="s">
        <v>154</v>
      </c>
      <c r="D24" t="s">
        <v>155</v>
      </c>
      <c r="E24">
        <v>740.71</v>
      </c>
      <c r="F24" t="s">
        <v>86</v>
      </c>
      <c r="G24" t="b">
        <v>0</v>
      </c>
      <c r="H24">
        <v>36213</v>
      </c>
      <c r="I24">
        <v>4</v>
      </c>
      <c r="J24" t="s">
        <v>161</v>
      </c>
      <c r="K24" t="s">
        <v>123</v>
      </c>
      <c r="L24" s="5">
        <v>45681</v>
      </c>
      <c r="M24" t="s">
        <v>89</v>
      </c>
      <c r="N24" t="s">
        <v>90</v>
      </c>
      <c r="O24">
        <v>192</v>
      </c>
      <c r="P24" t="s">
        <v>158</v>
      </c>
      <c r="Q24">
        <v>11392</v>
      </c>
      <c r="R24">
        <v>2</v>
      </c>
      <c r="S24" t="s">
        <v>85</v>
      </c>
      <c r="T24" t="s">
        <v>85</v>
      </c>
      <c r="U24" t="s">
        <v>85</v>
      </c>
    </row>
    <row r="25" spans="1:21" x14ac:dyDescent="0.3">
      <c r="A25">
        <v>978</v>
      </c>
      <c r="B25" t="s">
        <v>120</v>
      </c>
      <c r="C25" t="s">
        <v>154</v>
      </c>
      <c r="D25" t="s">
        <v>155</v>
      </c>
      <c r="E25">
        <v>80.510000000000005</v>
      </c>
      <c r="F25" t="s">
        <v>86</v>
      </c>
      <c r="G25" t="b">
        <v>0</v>
      </c>
      <c r="H25">
        <v>36218</v>
      </c>
      <c r="I25">
        <v>2</v>
      </c>
      <c r="J25" t="s">
        <v>162</v>
      </c>
      <c r="K25" t="s">
        <v>163</v>
      </c>
      <c r="L25" s="5">
        <v>45681</v>
      </c>
      <c r="M25" t="s">
        <v>89</v>
      </c>
      <c r="N25" t="s">
        <v>90</v>
      </c>
      <c r="O25">
        <v>192</v>
      </c>
      <c r="P25" t="s">
        <v>158</v>
      </c>
      <c r="Q25">
        <v>11399</v>
      </c>
      <c r="R25">
        <v>2</v>
      </c>
      <c r="S25" t="s">
        <v>139</v>
      </c>
      <c r="T25" t="s">
        <v>85</v>
      </c>
      <c r="U25" t="s">
        <v>85</v>
      </c>
    </row>
    <row r="26" spans="1:21" x14ac:dyDescent="0.3">
      <c r="A26">
        <v>961</v>
      </c>
      <c r="B26" t="s">
        <v>107</v>
      </c>
      <c r="C26" t="s">
        <v>154</v>
      </c>
      <c r="D26" t="s">
        <v>164</v>
      </c>
      <c r="E26">
        <v>990</v>
      </c>
      <c r="F26" t="s">
        <v>86</v>
      </c>
      <c r="G26" t="b">
        <v>0</v>
      </c>
      <c r="H26">
        <v>36681</v>
      </c>
      <c r="I26">
        <v>0</v>
      </c>
      <c r="J26" t="s">
        <v>106</v>
      </c>
      <c r="K26" t="s">
        <v>165</v>
      </c>
      <c r="L26" s="5">
        <v>45695</v>
      </c>
      <c r="M26" t="s">
        <v>89</v>
      </c>
      <c r="N26" t="s">
        <v>90</v>
      </c>
      <c r="O26">
        <v>192</v>
      </c>
      <c r="P26" t="s">
        <v>158</v>
      </c>
      <c r="Q26">
        <v>11400</v>
      </c>
      <c r="R26">
        <v>2</v>
      </c>
      <c r="S26" t="s">
        <v>85</v>
      </c>
      <c r="T26" t="s">
        <v>85</v>
      </c>
      <c r="U26" t="s">
        <v>85</v>
      </c>
    </row>
    <row r="27" spans="1:21" x14ac:dyDescent="0.3">
      <c r="A27">
        <v>1091</v>
      </c>
      <c r="B27" t="s">
        <v>142</v>
      </c>
      <c r="C27" t="s">
        <v>154</v>
      </c>
      <c r="D27" t="s">
        <v>155</v>
      </c>
      <c r="E27">
        <v>1644.72</v>
      </c>
      <c r="F27" t="s">
        <v>86</v>
      </c>
      <c r="G27" t="b">
        <v>0</v>
      </c>
      <c r="H27">
        <v>36698</v>
      </c>
      <c r="I27">
        <v>0</v>
      </c>
      <c r="J27" t="s">
        <v>141</v>
      </c>
      <c r="K27" t="s">
        <v>141</v>
      </c>
      <c r="L27" s="5">
        <v>45681</v>
      </c>
      <c r="M27" t="s">
        <v>89</v>
      </c>
      <c r="N27" t="s">
        <v>90</v>
      </c>
      <c r="O27">
        <v>192</v>
      </c>
      <c r="P27" t="s">
        <v>158</v>
      </c>
      <c r="Q27">
        <v>11398</v>
      </c>
      <c r="R27">
        <v>2</v>
      </c>
      <c r="S27" t="s">
        <v>85</v>
      </c>
      <c r="T27" t="s">
        <v>85</v>
      </c>
      <c r="U27" t="s">
        <v>85</v>
      </c>
    </row>
    <row r="28" spans="1:21" x14ac:dyDescent="0.3">
      <c r="A28">
        <v>968</v>
      </c>
      <c r="B28" t="s">
        <v>137</v>
      </c>
      <c r="C28" t="s">
        <v>154</v>
      </c>
      <c r="D28" t="s">
        <v>155</v>
      </c>
      <c r="E28">
        <v>10332.32</v>
      </c>
      <c r="F28" t="s">
        <v>86</v>
      </c>
      <c r="G28" t="b">
        <v>0</v>
      </c>
      <c r="H28">
        <v>36702</v>
      </c>
      <c r="I28">
        <v>1</v>
      </c>
      <c r="J28" t="s">
        <v>166</v>
      </c>
      <c r="K28" t="s">
        <v>167</v>
      </c>
      <c r="L28" s="5">
        <v>45678</v>
      </c>
      <c r="M28" t="s">
        <v>89</v>
      </c>
      <c r="N28" t="s">
        <v>90</v>
      </c>
      <c r="O28">
        <v>192</v>
      </c>
      <c r="P28" t="s">
        <v>158</v>
      </c>
      <c r="Q28" t="s">
        <v>168</v>
      </c>
      <c r="R28">
        <v>2</v>
      </c>
      <c r="S28" t="s">
        <v>85</v>
      </c>
      <c r="T28" t="s">
        <v>85</v>
      </c>
      <c r="U28" t="s">
        <v>85</v>
      </c>
    </row>
    <row r="29" spans="1:21" x14ac:dyDescent="0.3">
      <c r="A29">
        <v>978</v>
      </c>
      <c r="B29" t="s">
        <v>120</v>
      </c>
      <c r="C29" t="s">
        <v>154</v>
      </c>
      <c r="D29" t="s">
        <v>155</v>
      </c>
      <c r="E29">
        <v>30210.13</v>
      </c>
      <c r="F29" t="s">
        <v>86</v>
      </c>
      <c r="G29" t="b">
        <v>0</v>
      </c>
      <c r="H29">
        <v>36706</v>
      </c>
      <c r="I29">
        <v>1</v>
      </c>
      <c r="J29" t="s">
        <v>169</v>
      </c>
      <c r="K29" t="s">
        <v>170</v>
      </c>
      <c r="L29" s="5">
        <v>45666</v>
      </c>
      <c r="M29" t="s">
        <v>89</v>
      </c>
      <c r="N29" t="s">
        <v>90</v>
      </c>
      <c r="O29">
        <v>192</v>
      </c>
      <c r="P29" t="s">
        <v>158</v>
      </c>
      <c r="Q29">
        <v>11381</v>
      </c>
      <c r="R29">
        <v>2</v>
      </c>
      <c r="S29" t="s">
        <v>85</v>
      </c>
      <c r="T29" t="s">
        <v>85</v>
      </c>
      <c r="U29" t="s">
        <v>85</v>
      </c>
    </row>
    <row r="30" spans="1:21" x14ac:dyDescent="0.3">
      <c r="A30">
        <v>1020</v>
      </c>
      <c r="B30" t="s">
        <v>101</v>
      </c>
      <c r="C30" t="s">
        <v>154</v>
      </c>
      <c r="D30" t="s">
        <v>155</v>
      </c>
      <c r="E30">
        <v>240.82</v>
      </c>
      <c r="F30" t="s">
        <v>86</v>
      </c>
      <c r="G30" t="b">
        <v>0</v>
      </c>
      <c r="H30">
        <v>36890</v>
      </c>
      <c r="I30">
        <v>2</v>
      </c>
      <c r="J30" t="s">
        <v>171</v>
      </c>
      <c r="K30" t="s">
        <v>100</v>
      </c>
      <c r="L30" s="5">
        <v>45684</v>
      </c>
      <c r="M30" t="s">
        <v>89</v>
      </c>
      <c r="N30" t="s">
        <v>90</v>
      </c>
      <c r="O30">
        <v>192</v>
      </c>
      <c r="P30" t="s">
        <v>158</v>
      </c>
      <c r="Q30" t="s">
        <v>172</v>
      </c>
      <c r="R30">
        <v>2</v>
      </c>
      <c r="S30" t="s">
        <v>85</v>
      </c>
      <c r="T30" t="s">
        <v>85</v>
      </c>
      <c r="U30" t="s">
        <v>85</v>
      </c>
    </row>
    <row r="31" spans="1:21" x14ac:dyDescent="0.3">
      <c r="A31">
        <v>1011</v>
      </c>
      <c r="B31" t="s">
        <v>91</v>
      </c>
      <c r="C31" t="s">
        <v>154</v>
      </c>
      <c r="D31" t="s">
        <v>155</v>
      </c>
      <c r="E31">
        <v>460.72</v>
      </c>
      <c r="F31" t="s">
        <v>86</v>
      </c>
      <c r="G31" t="b">
        <v>0</v>
      </c>
      <c r="H31">
        <v>36894</v>
      </c>
      <c r="I31">
        <v>1</v>
      </c>
      <c r="J31" t="s">
        <v>88</v>
      </c>
      <c r="K31" t="s">
        <v>173</v>
      </c>
      <c r="L31" s="5">
        <v>45684</v>
      </c>
      <c r="M31" t="s">
        <v>89</v>
      </c>
      <c r="N31" t="s">
        <v>90</v>
      </c>
      <c r="O31">
        <v>192</v>
      </c>
      <c r="P31" t="s">
        <v>158</v>
      </c>
      <c r="Q31" t="s">
        <v>172</v>
      </c>
      <c r="R31">
        <v>2</v>
      </c>
      <c r="S31" t="s">
        <v>85</v>
      </c>
      <c r="T31" t="s">
        <v>85</v>
      </c>
      <c r="U31" t="s">
        <v>85</v>
      </c>
    </row>
    <row r="33" spans="1:7" x14ac:dyDescent="0.3">
      <c r="A33" t="s">
        <v>175</v>
      </c>
    </row>
    <row r="34" spans="1:7" x14ac:dyDescent="0.3">
      <c r="A34" t="s">
        <v>176</v>
      </c>
      <c r="B34" t="s">
        <v>177</v>
      </c>
      <c r="C34" t="s">
        <v>178</v>
      </c>
      <c r="D34" t="s">
        <v>179</v>
      </c>
      <c r="E34" t="s">
        <v>65</v>
      </c>
      <c r="F34" t="s">
        <v>64</v>
      </c>
      <c r="G34" t="s">
        <v>180</v>
      </c>
    </row>
    <row r="35" spans="1:7" x14ac:dyDescent="0.3">
      <c r="A35">
        <v>820.08</v>
      </c>
      <c r="B35">
        <v>36144</v>
      </c>
      <c r="C35" t="s">
        <v>27</v>
      </c>
      <c r="D35">
        <v>36209</v>
      </c>
      <c r="E35" s="5">
        <v>45674</v>
      </c>
      <c r="F35">
        <v>11386</v>
      </c>
      <c r="G35" t="s">
        <v>181</v>
      </c>
    </row>
    <row r="36" spans="1:7" x14ac:dyDescent="0.3">
      <c r="A36">
        <v>121.89</v>
      </c>
      <c r="B36">
        <v>36145</v>
      </c>
      <c r="C36" t="s">
        <v>27</v>
      </c>
      <c r="D36">
        <v>36209</v>
      </c>
      <c r="E36" s="5">
        <v>45674</v>
      </c>
      <c r="F36">
        <v>11386</v>
      </c>
      <c r="G36" t="s">
        <v>181</v>
      </c>
    </row>
    <row r="37" spans="1:7" x14ac:dyDescent="0.3">
      <c r="A37">
        <v>11767.72</v>
      </c>
      <c r="B37">
        <v>36146</v>
      </c>
      <c r="C37" t="s">
        <v>27</v>
      </c>
      <c r="D37">
        <v>36209</v>
      </c>
      <c r="E37" s="5">
        <v>45674</v>
      </c>
      <c r="F37">
        <v>11386</v>
      </c>
      <c r="G37" t="s">
        <v>181</v>
      </c>
    </row>
    <row r="38" spans="1:7" x14ac:dyDescent="0.3">
      <c r="A38">
        <v>1583.65</v>
      </c>
      <c r="B38">
        <v>36147</v>
      </c>
      <c r="C38" t="s">
        <v>27</v>
      </c>
      <c r="D38">
        <v>36209</v>
      </c>
      <c r="E38" s="5">
        <v>45674</v>
      </c>
      <c r="F38">
        <v>11386</v>
      </c>
      <c r="G38" t="s">
        <v>181</v>
      </c>
    </row>
    <row r="39" spans="1:7" x14ac:dyDescent="0.3">
      <c r="A39">
        <v>50.22</v>
      </c>
      <c r="B39">
        <v>36151</v>
      </c>
      <c r="C39" t="s">
        <v>27</v>
      </c>
      <c r="D39">
        <v>36209</v>
      </c>
      <c r="E39" s="5">
        <v>45674</v>
      </c>
      <c r="F39">
        <v>11386</v>
      </c>
      <c r="G39" t="s">
        <v>181</v>
      </c>
    </row>
    <row r="40" spans="1:7" x14ac:dyDescent="0.3">
      <c r="A40">
        <v>242.9</v>
      </c>
      <c r="B40">
        <v>36122</v>
      </c>
      <c r="C40" t="s">
        <v>27</v>
      </c>
      <c r="D40">
        <v>36210</v>
      </c>
      <c r="E40" s="5">
        <v>45674</v>
      </c>
      <c r="F40">
        <v>11387</v>
      </c>
      <c r="G40" t="s">
        <v>181</v>
      </c>
    </row>
    <row r="41" spans="1:7" x14ac:dyDescent="0.3">
      <c r="A41">
        <v>740.71</v>
      </c>
      <c r="B41">
        <v>36142</v>
      </c>
      <c r="C41" t="s">
        <v>27</v>
      </c>
      <c r="D41">
        <v>36213</v>
      </c>
      <c r="E41" s="5">
        <v>45681</v>
      </c>
      <c r="F41">
        <v>11392</v>
      </c>
      <c r="G41" t="s">
        <v>181</v>
      </c>
    </row>
    <row r="42" spans="1:7" x14ac:dyDescent="0.3">
      <c r="A42">
        <v>80.510000000000005</v>
      </c>
      <c r="B42">
        <v>36149</v>
      </c>
      <c r="C42" t="s">
        <v>27</v>
      </c>
      <c r="D42">
        <v>36218</v>
      </c>
      <c r="E42" s="5">
        <v>45681</v>
      </c>
      <c r="F42">
        <v>11399</v>
      </c>
      <c r="G42" t="s">
        <v>181</v>
      </c>
    </row>
    <row r="43" spans="1:7" x14ac:dyDescent="0.3">
      <c r="A43">
        <v>990</v>
      </c>
      <c r="B43">
        <v>32351</v>
      </c>
      <c r="C43" t="s">
        <v>27</v>
      </c>
      <c r="D43">
        <v>36681</v>
      </c>
      <c r="E43" s="5">
        <v>45695</v>
      </c>
      <c r="F43">
        <v>11400</v>
      </c>
      <c r="G43" t="s">
        <v>181</v>
      </c>
    </row>
    <row r="44" spans="1:7" x14ac:dyDescent="0.3">
      <c r="A44">
        <v>12.75</v>
      </c>
      <c r="B44">
        <v>36148</v>
      </c>
      <c r="C44" t="s">
        <v>27</v>
      </c>
      <c r="D44">
        <v>36698</v>
      </c>
      <c r="E44" s="5">
        <v>45681</v>
      </c>
      <c r="F44">
        <v>11398</v>
      </c>
      <c r="G44" t="s">
        <v>181</v>
      </c>
    </row>
    <row r="45" spans="1:7" x14ac:dyDescent="0.3">
      <c r="A45">
        <v>1631.97</v>
      </c>
      <c r="B45">
        <v>36697</v>
      </c>
      <c r="C45" t="s">
        <v>27</v>
      </c>
      <c r="D45">
        <v>36698</v>
      </c>
      <c r="E45" s="5">
        <v>45681</v>
      </c>
      <c r="F45">
        <v>11398</v>
      </c>
      <c r="G45" t="s">
        <v>181</v>
      </c>
    </row>
    <row r="46" spans="1:7" x14ac:dyDescent="0.3">
      <c r="A46">
        <v>10332.32</v>
      </c>
      <c r="B46">
        <v>36150</v>
      </c>
      <c r="C46" t="s">
        <v>27</v>
      </c>
      <c r="D46">
        <v>36702</v>
      </c>
      <c r="E46" s="5">
        <v>45678</v>
      </c>
      <c r="F46" t="s">
        <v>168</v>
      </c>
      <c r="G46" t="s">
        <v>181</v>
      </c>
    </row>
    <row r="47" spans="1:7" x14ac:dyDescent="0.3">
      <c r="A47">
        <v>30210.13</v>
      </c>
      <c r="B47">
        <v>36143</v>
      </c>
      <c r="C47" t="s">
        <v>27</v>
      </c>
      <c r="D47">
        <v>36706</v>
      </c>
      <c r="E47" s="5">
        <v>45666</v>
      </c>
      <c r="F47">
        <v>11381</v>
      </c>
      <c r="G47" t="s">
        <v>181</v>
      </c>
    </row>
    <row r="48" spans="1:7" x14ac:dyDescent="0.3">
      <c r="A48">
        <v>240.82</v>
      </c>
      <c r="B48">
        <v>32345</v>
      </c>
      <c r="C48" t="s">
        <v>27</v>
      </c>
      <c r="D48">
        <v>36890</v>
      </c>
      <c r="E48" s="5">
        <v>45684</v>
      </c>
      <c r="F48" t="s">
        <v>172</v>
      </c>
      <c r="G48" t="s">
        <v>181</v>
      </c>
    </row>
    <row r="49" spans="1:7" x14ac:dyDescent="0.3">
      <c r="A49">
        <v>460.72</v>
      </c>
      <c r="B49">
        <v>32344</v>
      </c>
      <c r="C49" t="s">
        <v>27</v>
      </c>
      <c r="D49">
        <v>36894</v>
      </c>
      <c r="E49" s="5">
        <v>45684</v>
      </c>
      <c r="F49" t="s">
        <v>172</v>
      </c>
      <c r="G4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Hawaii Forest &amp; Trail (IES)</vt:lpstr>
      <vt:lpstr>Hawaii_Failed_BillPayment</vt:lpstr>
      <vt:lpstr>Kohala Zip Line IES</vt:lpstr>
      <vt:lpstr>Kohala_Failed_BillPayment_Bills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2025-11-16T11:26:03Z</dcterms:modified>
</cp:coreProperties>
</file>