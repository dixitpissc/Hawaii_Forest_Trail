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https://isscindia-my.sharepoint.com/personal/dixitp_issc_co_in/Documents/Dixit_Work/Hawaii_Forest_Trail/"/>
    </mc:Choice>
  </mc:AlternateContent>
  <xr:revisionPtr revIDLastSave="312" documentId="13_ncr:1_{947B276C-EF01-4170-AA33-E8EFE5914E7E}" xr6:coauthVersionLast="47" xr6:coauthVersionMax="47" xr10:uidLastSave="{18C187D5-1DE2-4FC2-93FC-6E0F7C583925}"/>
  <bookViews>
    <workbookView xWindow="-108" yWindow="-108" windowWidth="23256" windowHeight="12456" activeTab="1" xr2:uid="{00000000-000D-0000-FFFF-FFFF00000000}"/>
  </bookViews>
  <sheets>
    <sheet name="Hawaii Forest &amp; Trail (IES)" sheetId="1" r:id="rId1"/>
    <sheet name="Kohala Zip Line IES" sheetId="2" r:id="rId2"/>
  </sheets>
  <definedNames>
    <definedName name="_xlnm._FilterDatabase" localSheetId="0" hidden="1">'Hawaii Forest &amp; Trail (IES)'!$B$1:$C$1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2" i="2" l="1"/>
  <c r="F13" i="2"/>
  <c r="F14" i="2"/>
  <c r="F13" i="1"/>
  <c r="F14" i="1"/>
  <c r="F15" i="1"/>
  <c r="F16" i="1"/>
  <c r="F17" i="1"/>
  <c r="F18" i="1"/>
  <c r="F19" i="1"/>
  <c r="F20" i="1"/>
  <c r="F21" i="1"/>
  <c r="F22" i="1"/>
  <c r="F23" i="1"/>
  <c r="F24" i="1"/>
  <c r="F12" i="1"/>
  <c r="F11" i="1"/>
  <c r="F9" i="2"/>
  <c r="F8" i="2"/>
  <c r="F3" i="2"/>
  <c r="F5" i="2"/>
  <c r="F7" i="2"/>
  <c r="F11" i="2"/>
  <c r="F15" i="2"/>
  <c r="F16" i="2"/>
  <c r="F17" i="2"/>
  <c r="F18" i="2"/>
  <c r="F19" i="2"/>
  <c r="F20" i="2"/>
  <c r="F21" i="2"/>
  <c r="F22" i="2"/>
  <c r="F23" i="2"/>
  <c r="F24" i="2"/>
  <c r="F2" i="2"/>
  <c r="F7" i="1"/>
  <c r="A12" i="1"/>
  <c r="A13" i="1"/>
  <c r="A14" i="1"/>
  <c r="A15" i="1"/>
  <c r="A16" i="1"/>
  <c r="A17" i="1"/>
  <c r="A18" i="1"/>
  <c r="A19" i="1"/>
  <c r="A20" i="1"/>
  <c r="A21" i="1"/>
  <c r="A22" i="1" s="1"/>
  <c r="A23" i="1" s="1"/>
  <c r="A11" i="1"/>
  <c r="F6" i="1"/>
  <c r="F9" i="1"/>
</calcChain>
</file>

<file path=xl/sharedStrings.xml><?xml version="1.0" encoding="utf-8"?>
<sst xmlns="http://schemas.openxmlformats.org/spreadsheetml/2006/main" count="133" uniqueCount="51">
  <si>
    <t>Table Name</t>
  </si>
  <si>
    <t>Migration Status</t>
  </si>
  <si>
    <t>PaymentMethod</t>
  </si>
  <si>
    <t>Source Row Count</t>
  </si>
  <si>
    <t xml:space="preserve">Already Exists in Target Instance </t>
  </si>
  <si>
    <t>Completed</t>
  </si>
  <si>
    <t>Migrated Data Count</t>
  </si>
  <si>
    <t>Sr No</t>
  </si>
  <si>
    <t>Term</t>
  </si>
  <si>
    <t>Pending</t>
  </si>
  <si>
    <t>currency</t>
  </si>
  <si>
    <t>NA</t>
  </si>
  <si>
    <t>Class</t>
  </si>
  <si>
    <t>Department</t>
  </si>
  <si>
    <t>Account</t>
  </si>
  <si>
    <t>Failed Records</t>
  </si>
  <si>
    <t>Item</t>
  </si>
  <si>
    <t>Item_category</t>
  </si>
  <si>
    <t>Item_Group</t>
  </si>
  <si>
    <t>-</t>
  </si>
  <si>
    <t>Notes</t>
  </si>
  <si>
    <t>Updated Intercompany to Intercompany Loans as there are same (account number is also same)</t>
  </si>
  <si>
    <t>Vendor</t>
  </si>
  <si>
    <t>Customer</t>
  </si>
  <si>
    <t>Employee</t>
  </si>
  <si>
    <t>Can not create category, 5 delete category as we are migrating without category and group as they are already deleted in source</t>
  </si>
  <si>
    <t>Estimate</t>
  </si>
  <si>
    <t>Bill</t>
  </si>
  <si>
    <t>Purchase</t>
  </si>
  <si>
    <t>This is voided with 0 amount so financially no impact and there are no line items</t>
  </si>
  <si>
    <t>vendorcredit</t>
  </si>
  <si>
    <t xml:space="preserve">Invoice </t>
  </si>
  <si>
    <t>CreditMemo</t>
  </si>
  <si>
    <t>SalesReceipt</t>
  </si>
  <si>
    <t>JournalEntry</t>
  </si>
  <si>
    <t>Vendorcredit</t>
  </si>
  <si>
    <t>Invoice</t>
  </si>
  <si>
    <t>Creditmemo</t>
  </si>
  <si>
    <t>Salesreceipt</t>
  </si>
  <si>
    <t>Journalentry</t>
  </si>
  <si>
    <t>Payment</t>
  </si>
  <si>
    <t>Transfer</t>
  </si>
  <si>
    <t>Deposit</t>
  </si>
  <si>
    <t>Refundreceipt</t>
  </si>
  <si>
    <t>Billpayment</t>
  </si>
  <si>
    <t xml:space="preserve">There are records relared to reimburse removed from source </t>
  </si>
  <si>
    <t>There are no records in kohala department</t>
  </si>
  <si>
    <t>Can not migrate as location is not tagged</t>
  </si>
  <si>
    <t>🧹 SQL cache cleared.
2025-11-12 21:23:15,828 - INFO - 🔧 Generating JSON payloads for deposits...
2025-11-12 21:23:21,716 - WARNING - Deposit line LinkedTxn mapping missing for type=Payment, src_id=38310 (Parent Source_Id=40268)
2025-11-12 21:23:31,377 - WARNING - Deposit line LinkedTxn mapping missing for type=Transfer, src_id=1521040019 (Parent Source_Id=45159)
2025-11-12 21:23:32,474 - WARNING - Deposit line LinkedTxn mapping missing for type=Payment, src_id=45326 (Parent Source_Id=45699)
2025-11-12 21:23:32,475 - WARNING - Deposit line LinkedTxn mapping missing for type=Payment, src_id=45689 (Parent Source_Id=45699)
2025-11-12 21:23:32,475 - WARNING - Deposit line LinkedTxn mapping missing for type=Transfer, src_id=1521040020 (Parent Source_Id=45699)
2025-11-12 21:23:34,361 - WARNING - Deposit line LinkedTxn mapping missing for type=Payment, src_id=46830 (Parent Source_Id=46832)
2025-11-12 21:23:34,787 - INFO - ✅ Processed 500 payloads in this batch.
2025-11-12 21:23:40,941 - INFO - ✅ Processed 154 payloads in this batch.
2025-11-12 21:23:40,959 - INFO - ✅ All deposit JSON payloads have been generated.
2025-11-12 21:23:41,300 - INFO - 📤 Posting 654 Deposit(s) via QBO Batch API (limit 10/call)...</t>
  </si>
  <si>
    <t>Can not migrate no location level filter present</t>
  </si>
  <si>
    <t>No records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</si>
</sst>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C00000"/>
      <name val="Calibri"/>
      <family val="2"/>
      <scheme val="minor"/>
    </font>
    <font>
      <sz val="15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C00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/>
    <xf numFmtId="0" fontId="0" fillId="3" borderId="0" xfId="0" applyFill="1"/>
    <xf numFmtId="0" fontId="2" fillId="0" borderId="0" xfId="0" applyFont="1"/>
    <xf numFmtId="0" fontId="3" fillId="0" borderId="0" xfId="0" applyFont="1"/>
    <xf numFmtId="0" fontId="0" fillId="0" borderId="0" xfId="0" applyFont="1"/>
    <xf numFmtId="0" fontId="2" fillId="0" borderId="0" xfId="0" applyFont="1" applyAlignment="1"/>
    <xf numFmtId="0" fontId="0" fillId="4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2"/>
  <sheetViews>
    <sheetView workbookViewId="0">
      <selection activeCell="A20" sqref="A20:XFD20"/>
    </sheetView>
  </sheetViews>
  <sheetFormatPr defaultRowHeight="14.4" x14ac:dyDescent="0.3"/>
  <cols>
    <col min="1" max="1" width="5.5546875" bestFit="1" customWidth="1"/>
    <col min="2" max="2" width="14.6640625" bestFit="1" customWidth="1"/>
    <col min="3" max="3" width="15" bestFit="1" customWidth="1"/>
    <col min="4" max="4" width="16.5546875" bestFit="1" customWidth="1"/>
    <col min="5" max="5" width="28.6640625" bestFit="1" customWidth="1"/>
    <col min="6" max="6" width="18.77734375" bestFit="1" customWidth="1"/>
    <col min="7" max="7" width="13.109375" bestFit="1" customWidth="1"/>
    <col min="8" max="8" width="13.33203125" bestFit="1" customWidth="1"/>
    <col min="9" max="9" width="11.109375" bestFit="1" customWidth="1"/>
    <col min="10" max="10" width="80.77734375" bestFit="1" customWidth="1"/>
  </cols>
  <sheetData>
    <row r="1" spans="1:10" x14ac:dyDescent="0.3">
      <c r="A1" s="1" t="s">
        <v>7</v>
      </c>
      <c r="B1" s="1" t="s">
        <v>0</v>
      </c>
      <c r="C1" s="1" t="s">
        <v>1</v>
      </c>
      <c r="D1" s="1" t="s">
        <v>3</v>
      </c>
      <c r="E1" s="1" t="s">
        <v>4</v>
      </c>
      <c r="F1" s="1" t="s">
        <v>6</v>
      </c>
      <c r="G1" s="1" t="s">
        <v>15</v>
      </c>
      <c r="H1" s="1" t="s">
        <v>17</v>
      </c>
      <c r="I1" s="1" t="s">
        <v>18</v>
      </c>
      <c r="J1" s="1" t="s">
        <v>20</v>
      </c>
    </row>
    <row r="2" spans="1:10" x14ac:dyDescent="0.3">
      <c r="A2">
        <v>1</v>
      </c>
      <c r="B2" t="s">
        <v>2</v>
      </c>
      <c r="C2" t="s">
        <v>5</v>
      </c>
      <c r="D2">
        <v>15</v>
      </c>
      <c r="E2">
        <v>9</v>
      </c>
      <c r="F2">
        <v>6</v>
      </c>
      <c r="G2">
        <v>0</v>
      </c>
      <c r="H2" t="s">
        <v>19</v>
      </c>
      <c r="I2" t="s">
        <v>19</v>
      </c>
    </row>
    <row r="3" spans="1:10" x14ac:dyDescent="0.3">
      <c r="A3">
        <v>2</v>
      </c>
      <c r="B3" t="s">
        <v>8</v>
      </c>
      <c r="C3" t="s">
        <v>5</v>
      </c>
      <c r="D3">
        <v>33</v>
      </c>
      <c r="E3">
        <v>12</v>
      </c>
      <c r="F3">
        <v>21</v>
      </c>
      <c r="G3">
        <v>0</v>
      </c>
      <c r="H3" t="s">
        <v>19</v>
      </c>
      <c r="I3" t="s">
        <v>19</v>
      </c>
    </row>
    <row r="4" spans="1:10" x14ac:dyDescent="0.3">
      <c r="A4">
        <v>3</v>
      </c>
      <c r="B4" t="s">
        <v>10</v>
      </c>
      <c r="C4" t="s">
        <v>11</v>
      </c>
      <c r="D4">
        <v>0</v>
      </c>
      <c r="E4">
        <v>0</v>
      </c>
      <c r="F4">
        <v>0</v>
      </c>
      <c r="G4">
        <v>0</v>
      </c>
      <c r="H4" t="s">
        <v>19</v>
      </c>
      <c r="I4" t="s">
        <v>19</v>
      </c>
    </row>
    <row r="5" spans="1:10" x14ac:dyDescent="0.3">
      <c r="A5">
        <v>4</v>
      </c>
      <c r="B5" t="s">
        <v>12</v>
      </c>
      <c r="C5" t="s">
        <v>5</v>
      </c>
      <c r="D5">
        <v>20</v>
      </c>
      <c r="E5">
        <v>4</v>
      </c>
      <c r="F5">
        <v>16</v>
      </c>
      <c r="G5">
        <v>0</v>
      </c>
      <c r="H5" t="s">
        <v>19</v>
      </c>
      <c r="I5" t="s">
        <v>19</v>
      </c>
    </row>
    <row r="6" spans="1:10" x14ac:dyDescent="0.3">
      <c r="A6">
        <v>5</v>
      </c>
      <c r="B6" t="s">
        <v>13</v>
      </c>
      <c r="C6" t="s">
        <v>5</v>
      </c>
      <c r="D6">
        <v>2</v>
      </c>
      <c r="E6">
        <v>1</v>
      </c>
      <c r="F6">
        <f>D6-E6</f>
        <v>1</v>
      </c>
      <c r="G6">
        <v>0</v>
      </c>
      <c r="H6" t="s">
        <v>19</v>
      </c>
      <c r="I6" t="s">
        <v>19</v>
      </c>
    </row>
    <row r="7" spans="1:10" x14ac:dyDescent="0.3">
      <c r="A7" s="2">
        <v>6</v>
      </c>
      <c r="B7" s="2" t="s">
        <v>14</v>
      </c>
      <c r="C7" s="2" t="s">
        <v>9</v>
      </c>
      <c r="D7" s="2">
        <v>255</v>
      </c>
      <c r="E7" s="2">
        <v>155</v>
      </c>
      <c r="F7" s="2">
        <f>D7-E7-G7</f>
        <v>99</v>
      </c>
      <c r="G7" s="2">
        <v>1</v>
      </c>
      <c r="H7" s="2" t="s">
        <v>19</v>
      </c>
      <c r="I7" s="2" t="s">
        <v>19</v>
      </c>
      <c r="J7" s="2" t="s">
        <v>21</v>
      </c>
    </row>
    <row r="8" spans="1:10" x14ac:dyDescent="0.3">
      <c r="A8">
        <v>7</v>
      </c>
      <c r="B8" t="s">
        <v>16</v>
      </c>
      <c r="C8" t="s">
        <v>5</v>
      </c>
      <c r="D8">
        <v>861</v>
      </c>
      <c r="E8">
        <v>59</v>
      </c>
      <c r="F8">
        <v>861</v>
      </c>
      <c r="G8">
        <v>4</v>
      </c>
      <c r="H8">
        <v>4</v>
      </c>
      <c r="I8">
        <v>1</v>
      </c>
      <c r="J8" t="s">
        <v>25</v>
      </c>
    </row>
    <row r="9" spans="1:10" x14ac:dyDescent="0.3">
      <c r="A9">
        <v>8</v>
      </c>
      <c r="B9" t="s">
        <v>22</v>
      </c>
      <c r="C9" t="s">
        <v>5</v>
      </c>
      <c r="D9">
        <v>994</v>
      </c>
      <c r="E9">
        <v>505</v>
      </c>
      <c r="F9">
        <f t="shared" ref="F9:F11" si="0">D9-E9</f>
        <v>489</v>
      </c>
      <c r="G9">
        <v>0</v>
      </c>
    </row>
    <row r="10" spans="1:10" x14ac:dyDescent="0.3">
      <c r="A10">
        <v>9</v>
      </c>
      <c r="B10" t="s">
        <v>23</v>
      </c>
      <c r="C10" t="s">
        <v>5</v>
      </c>
      <c r="D10">
        <v>328</v>
      </c>
      <c r="E10">
        <v>85</v>
      </c>
      <c r="F10">
        <v>218</v>
      </c>
      <c r="G10">
        <v>4</v>
      </c>
    </row>
    <row r="11" spans="1:10" x14ac:dyDescent="0.3">
      <c r="A11">
        <f>A10+1</f>
        <v>10</v>
      </c>
      <c r="B11" t="s">
        <v>24</v>
      </c>
      <c r="C11" t="s">
        <v>5</v>
      </c>
      <c r="D11">
        <v>1</v>
      </c>
      <c r="E11">
        <v>0</v>
      </c>
      <c r="F11">
        <f t="shared" si="0"/>
        <v>1</v>
      </c>
      <c r="G11">
        <v>0</v>
      </c>
    </row>
    <row r="12" spans="1:10" x14ac:dyDescent="0.3">
      <c r="A12">
        <f t="shared" ref="A12:A23" si="1">A11+1</f>
        <v>11</v>
      </c>
      <c r="B12" t="s">
        <v>26</v>
      </c>
      <c r="C12" t="s">
        <v>5</v>
      </c>
      <c r="D12">
        <v>21</v>
      </c>
      <c r="E12">
        <v>0</v>
      </c>
      <c r="F12">
        <f>D12-G12</f>
        <v>21</v>
      </c>
      <c r="G12">
        <v>0</v>
      </c>
    </row>
    <row r="13" spans="1:10" x14ac:dyDescent="0.3">
      <c r="A13">
        <f t="shared" si="1"/>
        <v>12</v>
      </c>
      <c r="B13" t="s">
        <v>27</v>
      </c>
      <c r="C13" t="s">
        <v>5</v>
      </c>
      <c r="D13">
        <v>1419</v>
      </c>
      <c r="E13">
        <v>0</v>
      </c>
      <c r="F13">
        <f t="shared" ref="F13:F24" si="2">D13-G13</f>
        <v>1419</v>
      </c>
      <c r="G13">
        <v>0</v>
      </c>
    </row>
    <row r="14" spans="1:10" x14ac:dyDescent="0.3">
      <c r="A14">
        <f t="shared" si="1"/>
        <v>13</v>
      </c>
      <c r="B14" t="s">
        <v>28</v>
      </c>
      <c r="C14" t="s">
        <v>5</v>
      </c>
      <c r="D14">
        <v>2090</v>
      </c>
      <c r="E14">
        <v>0</v>
      </c>
      <c r="F14">
        <f t="shared" si="2"/>
        <v>2089</v>
      </c>
      <c r="G14">
        <v>1</v>
      </c>
      <c r="J14" t="s">
        <v>29</v>
      </c>
    </row>
    <row r="15" spans="1:10" x14ac:dyDescent="0.3">
      <c r="A15">
        <f t="shared" si="1"/>
        <v>14</v>
      </c>
      <c r="B15" t="s">
        <v>30</v>
      </c>
      <c r="C15" t="s">
        <v>5</v>
      </c>
      <c r="D15">
        <v>14</v>
      </c>
      <c r="E15">
        <v>0</v>
      </c>
      <c r="F15">
        <f t="shared" si="2"/>
        <v>14</v>
      </c>
      <c r="G15">
        <v>0</v>
      </c>
    </row>
    <row r="16" spans="1:10" x14ac:dyDescent="0.3">
      <c r="A16" s="5">
        <f t="shared" si="1"/>
        <v>15</v>
      </c>
      <c r="B16" s="5" t="s">
        <v>31</v>
      </c>
      <c r="C16" s="5" t="s">
        <v>5</v>
      </c>
      <c r="D16" s="5">
        <v>683</v>
      </c>
      <c r="E16" s="5">
        <v>0</v>
      </c>
      <c r="F16" s="5">
        <f t="shared" si="2"/>
        <v>683</v>
      </c>
      <c r="G16" s="5">
        <v>0</v>
      </c>
    </row>
    <row r="17" spans="1:10" x14ac:dyDescent="0.3">
      <c r="A17">
        <f t="shared" si="1"/>
        <v>16</v>
      </c>
      <c r="B17" t="s">
        <v>32</v>
      </c>
      <c r="C17" t="s">
        <v>5</v>
      </c>
      <c r="D17">
        <v>2</v>
      </c>
      <c r="E17">
        <v>0</v>
      </c>
      <c r="F17">
        <f t="shared" si="2"/>
        <v>2</v>
      </c>
      <c r="G17">
        <v>0</v>
      </c>
    </row>
    <row r="18" spans="1:10" x14ac:dyDescent="0.3">
      <c r="A18">
        <f t="shared" si="1"/>
        <v>17</v>
      </c>
      <c r="B18" t="s">
        <v>33</v>
      </c>
      <c r="C18" t="s">
        <v>5</v>
      </c>
      <c r="D18">
        <v>2372</v>
      </c>
      <c r="E18">
        <v>0</v>
      </c>
      <c r="F18">
        <f t="shared" si="2"/>
        <v>2372</v>
      </c>
      <c r="G18">
        <v>0</v>
      </c>
    </row>
    <row r="19" spans="1:10" x14ac:dyDescent="0.3">
      <c r="A19">
        <f t="shared" si="1"/>
        <v>18</v>
      </c>
      <c r="B19" t="s">
        <v>34</v>
      </c>
      <c r="C19" t="s">
        <v>5</v>
      </c>
      <c r="D19">
        <v>610</v>
      </c>
      <c r="E19">
        <v>0</v>
      </c>
      <c r="F19">
        <f t="shared" si="2"/>
        <v>610</v>
      </c>
      <c r="G19">
        <v>0</v>
      </c>
    </row>
    <row r="20" spans="1:10" x14ac:dyDescent="0.3">
      <c r="A20" s="3">
        <f t="shared" si="1"/>
        <v>19</v>
      </c>
      <c r="B20" s="3" t="s">
        <v>40</v>
      </c>
      <c r="C20" s="3" t="s">
        <v>5</v>
      </c>
      <c r="D20" s="3">
        <v>636</v>
      </c>
      <c r="E20" s="3">
        <v>0</v>
      </c>
      <c r="F20" s="3">
        <f t="shared" si="2"/>
        <v>632</v>
      </c>
      <c r="G20" s="3">
        <v>4</v>
      </c>
      <c r="H20" s="3"/>
      <c r="I20" s="3"/>
      <c r="J20" s="3"/>
    </row>
    <row r="21" spans="1:10" x14ac:dyDescent="0.3">
      <c r="A21">
        <f t="shared" si="1"/>
        <v>20</v>
      </c>
      <c r="B21" t="s">
        <v>41</v>
      </c>
      <c r="C21" t="s">
        <v>9</v>
      </c>
      <c r="D21">
        <v>77</v>
      </c>
      <c r="E21">
        <v>0</v>
      </c>
      <c r="F21">
        <f t="shared" si="2"/>
        <v>77</v>
      </c>
      <c r="G21">
        <v>0</v>
      </c>
      <c r="J21" t="s">
        <v>47</v>
      </c>
    </row>
    <row r="22" spans="1:10" s="3" customFormat="1" x14ac:dyDescent="0.3">
      <c r="A22" s="3">
        <f t="shared" si="1"/>
        <v>21</v>
      </c>
      <c r="B22" s="3" t="s">
        <v>42</v>
      </c>
      <c r="C22" s="3" t="s">
        <v>5</v>
      </c>
      <c r="D22" s="3">
        <v>655</v>
      </c>
      <c r="E22" s="3">
        <v>0</v>
      </c>
      <c r="F22" s="3">
        <f t="shared" si="2"/>
        <v>650</v>
      </c>
      <c r="G22" s="3">
        <v>5</v>
      </c>
      <c r="J22" s="6" t="s">
        <v>48</v>
      </c>
    </row>
    <row r="23" spans="1:10" x14ac:dyDescent="0.3">
      <c r="A23">
        <f t="shared" si="1"/>
        <v>22</v>
      </c>
      <c r="B23" t="s">
        <v>43</v>
      </c>
      <c r="C23" t="s">
        <v>9</v>
      </c>
      <c r="D23">
        <v>1</v>
      </c>
      <c r="E23">
        <v>0</v>
      </c>
      <c r="F23">
        <f t="shared" si="2"/>
        <v>1</v>
      </c>
      <c r="G23">
        <v>0</v>
      </c>
    </row>
    <row r="24" spans="1:10" x14ac:dyDescent="0.3">
      <c r="A24">
        <v>23</v>
      </c>
      <c r="B24" t="s">
        <v>44</v>
      </c>
      <c r="C24" t="s">
        <v>5</v>
      </c>
      <c r="D24">
        <v>994</v>
      </c>
      <c r="E24">
        <v>0</v>
      </c>
      <c r="F24">
        <f t="shared" si="2"/>
        <v>963</v>
      </c>
      <c r="G24">
        <v>31</v>
      </c>
    </row>
    <row r="25" spans="1:10" ht="19.8" x14ac:dyDescent="0.4">
      <c r="B25" s="4"/>
    </row>
    <row r="26" spans="1:10" ht="19.8" x14ac:dyDescent="0.4">
      <c r="B26" s="4"/>
    </row>
    <row r="27" spans="1:10" ht="19.8" x14ac:dyDescent="0.4">
      <c r="B27" s="4"/>
    </row>
    <row r="28" spans="1:10" ht="19.8" x14ac:dyDescent="0.4">
      <c r="B28" s="4"/>
    </row>
    <row r="29" spans="1:10" ht="19.8" x14ac:dyDescent="0.4">
      <c r="B29" s="4"/>
    </row>
    <row r="30" spans="1:10" ht="19.8" x14ac:dyDescent="0.4">
      <c r="B30" s="4"/>
    </row>
    <row r="31" spans="1:10" ht="19.8" x14ac:dyDescent="0.4">
      <c r="B31" s="4"/>
    </row>
    <row r="32" spans="1:10" ht="19.8" x14ac:dyDescent="0.4">
      <c r="B32" s="4"/>
    </row>
  </sheetData>
  <dataValidations count="1">
    <dataValidation type="list" allowBlank="1" showInputMessage="1" showErrorMessage="1" sqref="C1:C1048576" xr:uid="{99AA452C-C8B1-45EA-A340-4449531578F0}">
      <formula1>"Completed, Pending, NA"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2435A5-9F5A-4EB8-AF54-E1E6DDA13E40}">
  <dimension ref="A1:J24"/>
  <sheetViews>
    <sheetView tabSelected="1" workbookViewId="0">
      <selection activeCell="A24" sqref="A24"/>
    </sheetView>
  </sheetViews>
  <sheetFormatPr defaultRowHeight="14.4" x14ac:dyDescent="0.3"/>
  <cols>
    <col min="1" max="1" width="5.5546875" bestFit="1" customWidth="1"/>
    <col min="2" max="2" width="14.6640625" bestFit="1" customWidth="1"/>
    <col min="3" max="3" width="15" bestFit="1" customWidth="1"/>
    <col min="4" max="4" width="16.5546875" bestFit="1" customWidth="1"/>
    <col min="5" max="5" width="28.6640625" bestFit="1" customWidth="1"/>
    <col min="6" max="6" width="18.77734375" bestFit="1" customWidth="1"/>
    <col min="7" max="7" width="13.109375" bestFit="1" customWidth="1"/>
    <col min="8" max="8" width="13.33203125" bestFit="1" customWidth="1"/>
    <col min="9" max="9" width="11.109375" bestFit="1" customWidth="1"/>
    <col min="10" max="10" width="5.88671875" bestFit="1" customWidth="1"/>
  </cols>
  <sheetData>
    <row r="1" spans="1:10" x14ac:dyDescent="0.3">
      <c r="A1" s="1" t="s">
        <v>7</v>
      </c>
      <c r="B1" s="1" t="s">
        <v>0</v>
      </c>
      <c r="C1" s="1" t="s">
        <v>1</v>
      </c>
      <c r="D1" s="1" t="s">
        <v>3</v>
      </c>
      <c r="E1" s="1" t="s">
        <v>4</v>
      </c>
      <c r="F1" s="1" t="s">
        <v>6</v>
      </c>
      <c r="G1" s="1" t="s">
        <v>15</v>
      </c>
      <c r="H1" s="1" t="s">
        <v>17</v>
      </c>
      <c r="I1" s="1" t="s">
        <v>18</v>
      </c>
      <c r="J1" s="1" t="s">
        <v>20</v>
      </c>
    </row>
    <row r="2" spans="1:10" x14ac:dyDescent="0.3">
      <c r="A2">
        <v>1</v>
      </c>
      <c r="B2" t="s">
        <v>2</v>
      </c>
      <c r="C2" t="s">
        <v>5</v>
      </c>
      <c r="D2">
        <v>15</v>
      </c>
      <c r="E2">
        <v>9</v>
      </c>
      <c r="F2">
        <f>D2-E2-G2</f>
        <v>6</v>
      </c>
      <c r="G2">
        <v>0</v>
      </c>
    </row>
    <row r="3" spans="1:10" x14ac:dyDescent="0.3">
      <c r="A3">
        <v>2</v>
      </c>
      <c r="B3" t="s">
        <v>8</v>
      </c>
      <c r="C3" t="s">
        <v>5</v>
      </c>
      <c r="D3">
        <v>33</v>
      </c>
      <c r="E3">
        <v>11</v>
      </c>
      <c r="F3">
        <f t="shared" ref="F3:F24" si="0">D3-E3-G3</f>
        <v>22</v>
      </c>
      <c r="G3">
        <v>0</v>
      </c>
    </row>
    <row r="4" spans="1:10" x14ac:dyDescent="0.3">
      <c r="A4">
        <v>3</v>
      </c>
      <c r="B4" t="s">
        <v>10</v>
      </c>
      <c r="C4" t="s">
        <v>5</v>
      </c>
      <c r="D4">
        <v>0</v>
      </c>
      <c r="E4">
        <v>0</v>
      </c>
      <c r="F4">
        <v>0</v>
      </c>
      <c r="G4">
        <v>0</v>
      </c>
    </row>
    <row r="5" spans="1:10" x14ac:dyDescent="0.3">
      <c r="A5">
        <v>4</v>
      </c>
      <c r="B5" t="s">
        <v>12</v>
      </c>
      <c r="C5" t="s">
        <v>5</v>
      </c>
      <c r="D5">
        <v>20</v>
      </c>
      <c r="E5">
        <v>3</v>
      </c>
      <c r="F5">
        <f t="shared" si="0"/>
        <v>17</v>
      </c>
      <c r="G5">
        <v>0</v>
      </c>
    </row>
    <row r="6" spans="1:10" x14ac:dyDescent="0.3">
      <c r="A6">
        <v>5</v>
      </c>
      <c r="B6" t="s">
        <v>13</v>
      </c>
      <c r="C6" t="s">
        <v>5</v>
      </c>
      <c r="D6">
        <v>0</v>
      </c>
      <c r="E6">
        <v>0</v>
      </c>
      <c r="F6">
        <v>0</v>
      </c>
      <c r="G6">
        <v>0</v>
      </c>
    </row>
    <row r="7" spans="1:10" x14ac:dyDescent="0.3">
      <c r="A7">
        <v>6</v>
      </c>
      <c r="B7" t="s">
        <v>14</v>
      </c>
      <c r="C7" t="s">
        <v>5</v>
      </c>
      <c r="D7">
        <v>255</v>
      </c>
      <c r="E7">
        <v>140</v>
      </c>
      <c r="F7">
        <f t="shared" si="0"/>
        <v>115</v>
      </c>
      <c r="G7">
        <v>0</v>
      </c>
    </row>
    <row r="8" spans="1:10" x14ac:dyDescent="0.3">
      <c r="A8">
        <v>7</v>
      </c>
      <c r="B8" t="s">
        <v>16</v>
      </c>
      <c r="C8" t="s">
        <v>5</v>
      </c>
      <c r="D8">
        <v>866</v>
      </c>
      <c r="E8">
        <v>15</v>
      </c>
      <c r="F8">
        <f>D8-E8-G8</f>
        <v>846</v>
      </c>
      <c r="G8">
        <v>5</v>
      </c>
    </row>
    <row r="9" spans="1:10" x14ac:dyDescent="0.3">
      <c r="A9">
        <v>8</v>
      </c>
      <c r="B9" t="s">
        <v>22</v>
      </c>
      <c r="C9" t="s">
        <v>5</v>
      </c>
      <c r="D9">
        <v>994</v>
      </c>
      <c r="E9">
        <v>281</v>
      </c>
      <c r="F9">
        <f>D9-E9-G9</f>
        <v>713</v>
      </c>
      <c r="G9">
        <v>0</v>
      </c>
    </row>
    <row r="10" spans="1:10" x14ac:dyDescent="0.3">
      <c r="A10">
        <v>9</v>
      </c>
      <c r="B10" t="s">
        <v>23</v>
      </c>
      <c r="C10" t="s">
        <v>5</v>
      </c>
      <c r="D10">
        <v>328</v>
      </c>
      <c r="E10">
        <v>66</v>
      </c>
      <c r="F10">
        <v>262</v>
      </c>
      <c r="G10">
        <v>0</v>
      </c>
    </row>
    <row r="11" spans="1:10" x14ac:dyDescent="0.3">
      <c r="A11">
        <v>10</v>
      </c>
      <c r="B11" t="s">
        <v>24</v>
      </c>
      <c r="C11" t="s">
        <v>5</v>
      </c>
      <c r="D11">
        <v>1</v>
      </c>
      <c r="E11">
        <v>0</v>
      </c>
      <c r="F11">
        <f t="shared" si="0"/>
        <v>1</v>
      </c>
      <c r="G11">
        <v>0</v>
      </c>
    </row>
    <row r="12" spans="1:10" x14ac:dyDescent="0.3">
      <c r="A12">
        <v>11</v>
      </c>
      <c r="B12" t="s">
        <v>26</v>
      </c>
      <c r="C12" t="s">
        <v>5</v>
      </c>
      <c r="D12">
        <v>3</v>
      </c>
      <c r="E12">
        <v>0</v>
      </c>
      <c r="F12">
        <f t="shared" si="0"/>
        <v>3</v>
      </c>
      <c r="G12">
        <v>0</v>
      </c>
    </row>
    <row r="13" spans="1:10" x14ac:dyDescent="0.3">
      <c r="A13">
        <v>12</v>
      </c>
      <c r="B13" t="s">
        <v>27</v>
      </c>
      <c r="C13" t="s">
        <v>5</v>
      </c>
      <c r="D13">
        <v>508</v>
      </c>
      <c r="E13">
        <v>0</v>
      </c>
      <c r="F13">
        <f t="shared" si="0"/>
        <v>508</v>
      </c>
      <c r="G13">
        <v>0</v>
      </c>
    </row>
    <row r="14" spans="1:10" x14ac:dyDescent="0.3">
      <c r="A14">
        <v>13</v>
      </c>
      <c r="B14" t="s">
        <v>28</v>
      </c>
      <c r="C14" t="s">
        <v>5</v>
      </c>
      <c r="D14">
        <v>724</v>
      </c>
      <c r="E14">
        <v>0</v>
      </c>
      <c r="F14">
        <f t="shared" si="0"/>
        <v>723</v>
      </c>
      <c r="G14">
        <v>1</v>
      </c>
    </row>
    <row r="15" spans="1:10" x14ac:dyDescent="0.3">
      <c r="A15">
        <v>14</v>
      </c>
      <c r="B15" t="s">
        <v>35</v>
      </c>
      <c r="C15" t="s">
        <v>5</v>
      </c>
      <c r="D15">
        <v>5</v>
      </c>
      <c r="E15">
        <v>0</v>
      </c>
      <c r="F15">
        <f t="shared" si="0"/>
        <v>5</v>
      </c>
      <c r="G15">
        <v>0</v>
      </c>
    </row>
    <row r="16" spans="1:10" x14ac:dyDescent="0.3">
      <c r="A16">
        <v>15</v>
      </c>
      <c r="B16" t="s">
        <v>36</v>
      </c>
      <c r="C16" t="s">
        <v>5</v>
      </c>
      <c r="D16">
        <v>281</v>
      </c>
      <c r="E16">
        <v>0</v>
      </c>
      <c r="F16">
        <f t="shared" si="0"/>
        <v>281</v>
      </c>
      <c r="G16">
        <v>0</v>
      </c>
      <c r="J16" t="s">
        <v>45</v>
      </c>
    </row>
    <row r="17" spans="1:10" x14ac:dyDescent="0.3">
      <c r="A17">
        <v>16</v>
      </c>
      <c r="B17" t="s">
        <v>37</v>
      </c>
      <c r="C17" t="s">
        <v>5</v>
      </c>
      <c r="D17">
        <v>7</v>
      </c>
      <c r="E17">
        <v>0</v>
      </c>
      <c r="F17">
        <f t="shared" si="0"/>
        <v>7</v>
      </c>
      <c r="G17">
        <v>0</v>
      </c>
    </row>
    <row r="18" spans="1:10" x14ac:dyDescent="0.3">
      <c r="A18">
        <v>17</v>
      </c>
      <c r="B18" t="s">
        <v>38</v>
      </c>
      <c r="C18" t="s">
        <v>5</v>
      </c>
      <c r="D18">
        <v>0</v>
      </c>
      <c r="E18">
        <v>0</v>
      </c>
      <c r="F18">
        <f t="shared" si="0"/>
        <v>0</v>
      </c>
      <c r="G18">
        <v>0</v>
      </c>
      <c r="J18" t="s">
        <v>46</v>
      </c>
    </row>
    <row r="19" spans="1:10" x14ac:dyDescent="0.3">
      <c r="A19">
        <v>18</v>
      </c>
      <c r="B19" t="s">
        <v>39</v>
      </c>
      <c r="C19" t="s">
        <v>5</v>
      </c>
      <c r="D19">
        <v>488</v>
      </c>
      <c r="E19">
        <v>0</v>
      </c>
      <c r="F19">
        <f t="shared" si="0"/>
        <v>488</v>
      </c>
      <c r="G19">
        <v>0</v>
      </c>
    </row>
    <row r="20" spans="1:10" x14ac:dyDescent="0.3">
      <c r="A20">
        <v>19</v>
      </c>
      <c r="B20" t="s">
        <v>40</v>
      </c>
      <c r="C20" t="s">
        <v>5</v>
      </c>
      <c r="D20">
        <v>286</v>
      </c>
      <c r="E20">
        <v>0</v>
      </c>
      <c r="F20">
        <f t="shared" si="0"/>
        <v>286</v>
      </c>
      <c r="G20">
        <v>0</v>
      </c>
    </row>
    <row r="21" spans="1:10" x14ac:dyDescent="0.3">
      <c r="A21" s="7">
        <v>20</v>
      </c>
      <c r="B21" s="7" t="s">
        <v>41</v>
      </c>
      <c r="C21" s="7" t="s">
        <v>9</v>
      </c>
      <c r="D21" s="7">
        <v>0</v>
      </c>
      <c r="E21" s="7">
        <v>0</v>
      </c>
      <c r="F21" s="7">
        <f t="shared" si="0"/>
        <v>0</v>
      </c>
      <c r="G21" s="7">
        <v>0</v>
      </c>
      <c r="J21" t="s">
        <v>49</v>
      </c>
    </row>
    <row r="22" spans="1:10" x14ac:dyDescent="0.3">
      <c r="A22" s="3">
        <v>21</v>
      </c>
      <c r="B22" s="3" t="s">
        <v>42</v>
      </c>
      <c r="C22" s="3" t="s">
        <v>9</v>
      </c>
      <c r="D22" s="3">
        <v>494</v>
      </c>
      <c r="E22" s="3">
        <v>0</v>
      </c>
      <c r="F22" s="3">
        <f t="shared" si="0"/>
        <v>493</v>
      </c>
      <c r="G22" s="3">
        <v>1</v>
      </c>
    </row>
    <row r="23" spans="1:10" x14ac:dyDescent="0.3">
      <c r="A23">
        <v>22</v>
      </c>
      <c r="B23" t="s">
        <v>43</v>
      </c>
      <c r="C23" t="s">
        <v>9</v>
      </c>
      <c r="D23">
        <v>0</v>
      </c>
      <c r="E23">
        <v>0</v>
      </c>
      <c r="F23">
        <f t="shared" si="0"/>
        <v>0</v>
      </c>
      <c r="G23">
        <v>0</v>
      </c>
      <c r="J23" t="s">
        <v>50</v>
      </c>
    </row>
    <row r="24" spans="1:10" x14ac:dyDescent="0.3">
      <c r="A24">
        <v>23</v>
      </c>
      <c r="B24" t="s">
        <v>44</v>
      </c>
      <c r="C24" t="s">
        <v>9</v>
      </c>
      <c r="D24">
        <v>345</v>
      </c>
      <c r="E24">
        <v>0</v>
      </c>
      <c r="F24">
        <f t="shared" si="0"/>
        <v>345</v>
      </c>
      <c r="G24">
        <v>0</v>
      </c>
    </row>
  </sheetData>
  <dataValidations count="1">
    <dataValidation type="list" allowBlank="1" showInputMessage="1" showErrorMessage="1" sqref="C1:C24" xr:uid="{81987673-4498-4E3B-B774-63A09DEE5898}">
      <formula1>"Completed, Pending, NA"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Hawaii Forest &amp; Trail (IES)</vt:lpstr>
      <vt:lpstr>Kohala Zip Line 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Dixit Prajapati</dc:creator>
  <cp:lastModifiedBy>Dixit Prajapati</cp:lastModifiedBy>
  <dcterms:created xsi:type="dcterms:W3CDTF">2015-06-05T18:17:20Z</dcterms:created>
  <dcterms:modified xsi:type="dcterms:W3CDTF">2025-11-12T18:07:21Z</dcterms:modified>
</cp:coreProperties>
</file>