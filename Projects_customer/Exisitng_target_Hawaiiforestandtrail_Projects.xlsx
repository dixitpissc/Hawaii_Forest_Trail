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Projects_customer/"/>
    </mc:Choice>
  </mc:AlternateContent>
  <xr:revisionPtr revIDLastSave="31" documentId="11_4633FBC03990C1367E7B4BD17CBFFDA0387B4B47" xr6:coauthVersionLast="47" xr6:coauthVersionMax="47" xr10:uidLastSave="{1932FB6C-8317-46B7-A450-FDB6CD31A8A3}"/>
  <bookViews>
    <workbookView xWindow="-108" yWindow="-108" windowWidth="23256" windowHeight="12456" tabRatio="204" firstSheet="1" activeTab="1" xr2:uid="{00000000-000D-0000-FFFF-FFFF00000000}"/>
  </bookViews>
  <sheets>
    <sheet name="Target_IES" sheetId="1" r:id="rId1"/>
    <sheet name="Source" sheetId="2" r:id="rId2"/>
  </sheets>
  <definedNames>
    <definedName name="_xlnm._FilterDatabase" localSheetId="1" hidden="1">Source!$A$1:$BH$42</definedName>
    <definedName name="_xlnm._FilterDatabase" localSheetId="0" hidden="1">Target_IES!$A$1:$J$36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2" i="2" l="1"/>
  <c r="AB41" i="2"/>
  <c r="AB40" i="2"/>
  <c r="AB39" i="2"/>
  <c r="AB38" i="2"/>
  <c r="AB37" i="2"/>
  <c r="AB36" i="2"/>
  <c r="AB35" i="2"/>
  <c r="AB34" i="2"/>
  <c r="AB33" i="2"/>
  <c r="AB32" i="2"/>
  <c r="AB31" i="2"/>
  <c r="AB29" i="2"/>
  <c r="AB22" i="2"/>
  <c r="AB21" i="2"/>
  <c r="AB3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" i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2" i="2"/>
</calcChain>
</file>

<file path=xl/sharedStrings.xml><?xml version="1.0" encoding="utf-8"?>
<sst xmlns="http://schemas.openxmlformats.org/spreadsheetml/2006/main" count="2114" uniqueCount="413">
  <si>
    <t>Project</t>
  </si>
  <si>
    <t>Customer</t>
  </si>
  <si>
    <t>Income</t>
  </si>
  <si>
    <t>Cost</t>
  </si>
  <si>
    <t>Profit Margin</t>
  </si>
  <si>
    <t>Time</t>
  </si>
  <si>
    <t>Start date</t>
  </si>
  <si>
    <t>End date</t>
  </si>
  <si>
    <t>Status</t>
  </si>
  <si>
    <t>Affiliate 20%</t>
  </si>
  <si>
    <t>Direct</t>
  </si>
  <si>
    <t>$48,321.73</t>
  </si>
  <si>
    <t>$98.45</t>
  </si>
  <si>
    <t>99.8%</t>
  </si>
  <si>
    <t>0:00</t>
  </si>
  <si>
    <t>10/03/2017</t>
  </si>
  <si>
    <t>Not started</t>
  </si>
  <si>
    <t>All Star</t>
  </si>
  <si>
    <t>$3,146.77</t>
  </si>
  <si>
    <t>$0.00</t>
  </si>
  <si>
    <t>100%</t>
  </si>
  <si>
    <t>Blyth Education Travel</t>
  </si>
  <si>
    <t>$17,886.40</t>
  </si>
  <si>
    <t>Cain Travel</t>
  </si>
  <si>
    <t>$7,959.42</t>
  </si>
  <si>
    <t>Chrysalis Event Hawaii - FIT</t>
  </si>
  <si>
    <t>Chrysalis Events</t>
  </si>
  <si>
    <t>$19,595.67</t>
  </si>
  <si>
    <t/>
  </si>
  <si>
    <t>Chrysalis Events Hawaii</t>
  </si>
  <si>
    <t>$290,876.93</t>
  </si>
  <si>
    <t>$61.94</t>
  </si>
  <si>
    <t>Crossing Boundaries</t>
  </si>
  <si>
    <t>Affiliate 15%</t>
  </si>
  <si>
    <t>$47,140.78</t>
  </si>
  <si>
    <t>DeSilva Meetings Consultants FIT</t>
  </si>
  <si>
    <t>Desilva Meetings Consultants</t>
  </si>
  <si>
    <t>$37,183.80</t>
  </si>
  <si>
    <t>$6.42</t>
  </si>
  <si>
    <t>Desilva Meetings Consultants- Groups</t>
  </si>
  <si>
    <t>$269,177.46</t>
  </si>
  <si>
    <t>DoTerra</t>
  </si>
  <si>
    <t>$16,000.00</t>
  </si>
  <si>
    <t>Fei Wang</t>
  </si>
  <si>
    <t>American Excursionist {Customer}</t>
  </si>
  <si>
    <t>$3,710.33</t>
  </si>
  <si>
    <t>FIT</t>
  </si>
  <si>
    <t>MC&amp;A</t>
  </si>
  <si>
    <t>$167,302.53</t>
  </si>
  <si>
    <t>Frosch Travel</t>
  </si>
  <si>
    <t>$6,188.48</t>
  </si>
  <si>
    <t>$41.94</t>
  </si>
  <si>
    <t>99.3%</t>
  </si>
  <si>
    <t>Going Places Travel</t>
  </si>
  <si>
    <t>$12,527.09</t>
  </si>
  <si>
    <t>Groups</t>
  </si>
  <si>
    <t>$972,583.75</t>
  </si>
  <si>
    <t>$869.03</t>
  </si>
  <si>
    <t>99.9%</t>
  </si>
  <si>
    <t>Hualalai Investors  dba Four Seasons Reso</t>
  </si>
  <si>
    <t>Four Seasons</t>
  </si>
  <si>
    <t>$926,719.50</t>
  </si>
  <si>
    <t>$553.31</t>
  </si>
  <si>
    <t>Hualalai Investors Hotel dba Four Seasons</t>
  </si>
  <si>
    <t>$966,883.65</t>
  </si>
  <si>
    <t>Island Partners Hawaii - FIT</t>
  </si>
  <si>
    <t>$158,227.44</t>
  </si>
  <si>
    <t>$19.66</t>
  </si>
  <si>
    <t>Janet Newlon</t>
  </si>
  <si>
    <t>Exclusive Resorts.</t>
  </si>
  <si>
    <t>$2,270.16</t>
  </si>
  <si>
    <t>$135.43</t>
  </si>
  <si>
    <t>94%</t>
  </si>
  <si>
    <t>Kathy Clarke's Meeting - Groups</t>
  </si>
  <si>
    <t>Kathy Clarke's</t>
  </si>
  <si>
    <t>$242,929.15</t>
  </si>
  <si>
    <t>MC&amp;A - Groups</t>
  </si>
  <si>
    <t>$1,060,144.90</t>
  </si>
  <si>
    <t>$2,964.87</t>
  </si>
  <si>
    <t>99.7%</t>
  </si>
  <si>
    <t>Nuba</t>
  </si>
  <si>
    <t>$2,697.64</t>
  </si>
  <si>
    <t>-$13.00</t>
  </si>
  <si>
    <t>100.5%</t>
  </si>
  <si>
    <t>Panache Destination Management - FIT</t>
  </si>
  <si>
    <t>Panache</t>
  </si>
  <si>
    <t>$6,262.39</t>
  </si>
  <si>
    <t>Panache Destination Management - Groups</t>
  </si>
  <si>
    <t>$490,238.41</t>
  </si>
  <si>
    <t>$5,031.29</t>
  </si>
  <si>
    <t>99%</t>
  </si>
  <si>
    <t>Paradise Helicopters - Agency</t>
  </si>
  <si>
    <t>Paradise Helicopters</t>
  </si>
  <si>
    <t>$548,868.16</t>
  </si>
  <si>
    <t>09/16/2014</t>
  </si>
  <si>
    <t>Paradise Helicopters - Groups</t>
  </si>
  <si>
    <t>$131,445.44</t>
  </si>
  <si>
    <t>$0.78</t>
  </si>
  <si>
    <t>Paradise Helicopters- Activity Desk</t>
  </si>
  <si>
    <t>$147,512.39</t>
  </si>
  <si>
    <t>$250.00</t>
  </si>
  <si>
    <t>Resilient Indigenous Leaders Network</t>
  </si>
  <si>
    <t>$36,397.06</t>
  </si>
  <si>
    <t>$485.12</t>
  </si>
  <si>
    <t>98.7%</t>
  </si>
  <si>
    <t>Rockit Events</t>
  </si>
  <si>
    <t>$10,055.31</t>
  </si>
  <si>
    <t>06/20/2024</t>
  </si>
  <si>
    <t>SAP</t>
  </si>
  <si>
    <t>Weil &amp; Associates-Groups</t>
  </si>
  <si>
    <t>$73,585.56</t>
  </si>
  <si>
    <t>$500.00</t>
  </si>
  <si>
    <t>Taylor Family Limited Partnership</t>
  </si>
  <si>
    <t>$8,100.00</t>
  </si>
  <si>
    <t>The Wright Company</t>
  </si>
  <si>
    <t>$9,117.54</t>
  </si>
  <si>
    <t>TMG Hawaii - Groups</t>
  </si>
  <si>
    <t>TMG</t>
  </si>
  <si>
    <t>$206,029.62</t>
  </si>
  <si>
    <t>$207.68</t>
  </si>
  <si>
    <t>University of Hawaii</t>
  </si>
  <si>
    <t>$9,519.44</t>
  </si>
  <si>
    <t>Victor Emanuel Nature Tours</t>
  </si>
  <si>
    <t>$75,103.24</t>
  </si>
  <si>
    <t>Taxable</t>
  </si>
  <si>
    <t>BillAddr.Id</t>
  </si>
  <si>
    <t>BillAddr.Line1</t>
  </si>
  <si>
    <t>BillAddr.Line2</t>
  </si>
  <si>
    <t>BillAddr.Line3</t>
  </si>
  <si>
    <t>BillAddr.City</t>
  </si>
  <si>
    <t>BillAddr.CountrySubDivisionCode</t>
  </si>
  <si>
    <t>BillAddr.PostalCode</t>
  </si>
  <si>
    <t>ShipAddr.Id</t>
  </si>
  <si>
    <t>ShipAddr.Line1</t>
  </si>
  <si>
    <t>ShipAddr.Line2</t>
  </si>
  <si>
    <t>ShipAddr.Line3</t>
  </si>
  <si>
    <t>ShipAddr.City</t>
  </si>
  <si>
    <t>ShipAddr.CountrySubDivisionCode</t>
  </si>
  <si>
    <t>ShipAddr.PostalCode</t>
  </si>
  <si>
    <t>Job</t>
  </si>
  <si>
    <t>BillWithParent</t>
  </si>
  <si>
    <t>Balance</t>
  </si>
  <si>
    <t>BalanceWithJobs</t>
  </si>
  <si>
    <t>CurrencyRef.value</t>
  </si>
  <si>
    <t>CurrencyRef.name</t>
  </si>
  <si>
    <t>PreferredDeliveryMethod</t>
  </si>
  <si>
    <t>IsProject</t>
  </si>
  <si>
    <t>ClientEntityId</t>
  </si>
  <si>
    <t>domain</t>
  </si>
  <si>
    <t>sparse</t>
  </si>
  <si>
    <t>Id</t>
  </si>
  <si>
    <t>SyncToken</t>
  </si>
  <si>
    <t>MetaData.CreateTime</t>
  </si>
  <si>
    <t>MetaData.LastUpdatedTime</t>
  </si>
  <si>
    <t>FullyQualifiedName</t>
  </si>
  <si>
    <t>DisplayName</t>
  </si>
  <si>
    <t>PrintOnCheckName</t>
  </si>
  <si>
    <t>Active</t>
  </si>
  <si>
    <t>V4IDPseudonym</t>
  </si>
  <si>
    <t>SalesTermRef.value</t>
  </si>
  <si>
    <t>SalesTermRef.name</t>
  </si>
  <si>
    <t>TaxExemptionReasonId</t>
  </si>
  <si>
    <t>PrimaryEmailAddr.Address</t>
  </si>
  <si>
    <t>Notes</t>
  </si>
  <si>
    <t>CustomerTypeRef.value</t>
  </si>
  <si>
    <t>AlternatePhone.FreeFormNumber</t>
  </si>
  <si>
    <t>BillAddr.Line4</t>
  </si>
  <si>
    <t>ShipAddr.Line4</t>
  </si>
  <si>
    <t>CompanyName</t>
  </si>
  <si>
    <t>PrimaryPhone.FreeFormNumber</t>
  </si>
  <si>
    <t>Fax.FreeFormNumber</t>
  </si>
  <si>
    <t>GivenName</t>
  </si>
  <si>
    <t>ParentRef.value</t>
  </si>
  <si>
    <t>Level</t>
  </si>
  <si>
    <t>DefaultTaxCodeRef.value</t>
  </si>
  <si>
    <t>PaymentMethodRef.value</t>
  </si>
  <si>
    <t>FamilyName</t>
  </si>
  <si>
    <t>BillAddr.Country</t>
  </si>
  <si>
    <t>ShipAddr.Country</t>
  </si>
  <si>
    <t>WebAddr.URI</t>
  </si>
  <si>
    <t>Mobile.FreeFormNumber</t>
  </si>
  <si>
    <t>MiddleName</t>
  </si>
  <si>
    <t>[NULL]</t>
  </si>
  <si>
    <t>USD</t>
  </si>
  <si>
    <t>United States Dollar</t>
  </si>
  <si>
    <t>Print</t>
  </si>
  <si>
    <t>QBO</t>
  </si>
  <si>
    <t>2024-12-03T16:39:43-08:00</t>
  </si>
  <si>
    <t>2025-05-06T15:02:13-07:00</t>
  </si>
  <si>
    <t>KMC&amp;A:MC&amp;A - Groups</t>
  </si>
  <si>
    <t>0020516d2aa712cb344411b9baafd8daddc913</t>
  </si>
  <si>
    <t>Net 30</t>
  </si>
  <si>
    <t>accountingmca@mcahawaii.com, Lynnen_Kim@mcahawaii.com</t>
  </si>
  <si>
    <t>Island Partners Hawaii_x000D_
615 Piikoi Street, Suite 1000_x000D_
Honolulu, HI 96814_x000D_
Attn: Qian Wang AP_x000D_
808-589-5548 act._x000D_
808-394-2515_x000D_
Fax- 808-394-1735_x000D_
accountingmca@mcahawaii.com</t>
  </si>
  <si>
    <t>808-589-5500</t>
  </si>
  <si>
    <t>2025-04-03T17:58:08-07:00</t>
  </si>
  <si>
    <t>KMC&amp;A:MC&amp;A - FIT</t>
  </si>
  <si>
    <t>MC&amp;A - FIT</t>
  </si>
  <si>
    <t>0020517357d20db9a74aae90c7fe15776b8af6</t>
  </si>
  <si>
    <t>accountingmca@mcahawaii.com</t>
  </si>
  <si>
    <t>MC &amp; A</t>
  </si>
  <si>
    <t>808-589-5501</t>
  </si>
  <si>
    <t>2025-05-15T17:50:37-07:00</t>
  </si>
  <si>
    <t>KMC&amp;A:Island Partners Hawaii - FIT</t>
  </si>
  <si>
    <t>0020517cdeb64a53904e0a9f31a08ad799bbbf</t>
  </si>
  <si>
    <t>lillianh@islandpartnershawaii.com</t>
  </si>
  <si>
    <t>Four Seasons Hotel</t>
  </si>
  <si>
    <t>P.O. Box 1269</t>
  </si>
  <si>
    <t>Kailua-Kona</t>
  </si>
  <si>
    <t>HI</t>
  </si>
  <si>
    <t>2024-12-03T16:39:44-08:00</t>
  </si>
  <si>
    <t>2025-09-08T15:13:08-07:00</t>
  </si>
  <si>
    <t>Four Seasons:Hualalai Investors Hotel dba Four Seasons</t>
  </si>
  <si>
    <t>00205113c18926a8314cfc9305e414f19b5445</t>
  </si>
  <si>
    <t>james.cantyne@fourseasons.com</t>
  </si>
  <si>
    <t>Wil Mazzarella- wil.mazzarella@fourseasons.com- 325-8142</t>
  </si>
  <si>
    <t>(808)325-8058</t>
  </si>
  <si>
    <t>Four Seasons Resort</t>
  </si>
  <si>
    <t>2025-09-30T13:59:51-07:00</t>
  </si>
  <si>
    <t>Four Seasons:Hualalai Investors  dba Four Seasons Reso</t>
  </si>
  <si>
    <t>00205136c5e9e38dc7431dadc0f7f1fe0d5344</t>
  </si>
  <si>
    <t>FSHInvoicesKona.ig@capgemini.com</t>
  </si>
  <si>
    <t>Desilva Meeting Consultants</t>
  </si>
  <si>
    <t>PO Box 790271</t>
  </si>
  <si>
    <t>Paia</t>
  </si>
  <si>
    <t>2025-07-28T12:51:11-07:00</t>
  </si>
  <si>
    <t>Desilva Meetings Consultants:Desilva Meetings Consultants- Groups</t>
  </si>
  <si>
    <t>002051a526c719a8b94541aa7d8556dbdf424a</t>
  </si>
  <si>
    <t>tj@desilvadmc.com,</t>
  </si>
  <si>
    <t>808) 575-5400</t>
  </si>
  <si>
    <t>(808) 579-5032</t>
  </si>
  <si>
    <t>2024-12-03T16:39:46-08:00</t>
  </si>
  <si>
    <t>2025-04-03T18:00:36-07:00</t>
  </si>
  <si>
    <t>Kathy Clarke's:Kathy Clarke's Meeting - Groups</t>
  </si>
  <si>
    <t>002051f98b68af9e8a46c48b07b9da610578b2</t>
  </si>
  <si>
    <t>Kathy@kathyclarkehawaii.com</t>
  </si>
  <si>
    <t>Island Partners</t>
  </si>
  <si>
    <t>2024-12-03T16:39:49-08:00</t>
  </si>
  <si>
    <t>2025-04-03T18:00:11-07:00</t>
  </si>
  <si>
    <t>MC&amp;A:Island Partners Hawaii - FIT</t>
  </si>
  <si>
    <t>002051e8ad3bb0043f428683870e6126f920fe</t>
  </si>
  <si>
    <t>michellem@islandpartnershawaii.com</t>
  </si>
  <si>
    <t>MC&amp;A Groups</t>
  </si>
  <si>
    <t>2025-06-23T15:26:36-07:00</t>
  </si>
  <si>
    <t>MC&amp;A:Groups</t>
  </si>
  <si>
    <t>00205153ae0e4ab1a3437690a5aebe20ac692f</t>
  </si>
  <si>
    <t>2025-04-04T13:30:17-07:00</t>
  </si>
  <si>
    <t>MC&amp;A:FIT</t>
  </si>
  <si>
    <t>002051b62dc26221ee4dfa9693317d791dd2a9</t>
  </si>
  <si>
    <t>2024-12-03T16:39:50-08:00</t>
  </si>
  <si>
    <t>2025-04-03T18:00:32-07:00</t>
  </si>
  <si>
    <t>Paradise Helicopters:Paradise Helicopters - Groups</t>
  </si>
  <si>
    <t>00205162e031d31f5547059394f890432835a5</t>
  </si>
  <si>
    <t>Paradise Helicopters-Groups</t>
  </si>
  <si>
    <t>PO Box 5371</t>
  </si>
  <si>
    <t>Kailua Kona</t>
  </si>
  <si>
    <t>2025-04-03T18:00:27-07:00</t>
  </si>
  <si>
    <t>Paradise Helicopters:Paradise Helicopters - Agency</t>
  </si>
  <si>
    <t>002051c503305d0c464d83b6c00d02ea997d67</t>
  </si>
  <si>
    <t>paradise.helicopters@bills.corpayone.com</t>
  </si>
  <si>
    <t>808-969-7392</t>
  </si>
  <si>
    <t>Hyve Solutions</t>
  </si>
  <si>
    <t>Attn Stacey Duncan</t>
  </si>
  <si>
    <t>44201 Nobel Dr.</t>
  </si>
  <si>
    <t>Fremont</t>
  </si>
  <si>
    <t>CA</t>
  </si>
  <si>
    <t>2024-12-03T16:39:52-08:00</t>
  </si>
  <si>
    <t>2025-04-03T17:59:41-07:00</t>
  </si>
  <si>
    <t>Direct:Rockit Events</t>
  </si>
  <si>
    <t>002051e01f3ea5d2174c33b40bce020435820e</t>
  </si>
  <si>
    <t>2025-04-08T18:25:50-07:00</t>
  </si>
  <si>
    <t>Direct:DoTerra</t>
  </si>
  <si>
    <t>002051c22a4d77d6e64ae480d5a25b91fa0d97</t>
  </si>
  <si>
    <t>groups@hawaii-forest.com</t>
  </si>
  <si>
    <t>2025-04-03T17:58:22-07:00</t>
  </si>
  <si>
    <t>Direct:Affiliate 20%</t>
  </si>
  <si>
    <t>0020515a2e8b3306bc41d483777ff25bdac575</t>
  </si>
  <si>
    <t>2525 Wallingwood Drive</t>
  </si>
  <si>
    <t>Ste 1003</t>
  </si>
  <si>
    <t>Austin</t>
  </si>
  <si>
    <t>TX</t>
  </si>
  <si>
    <t>2025-06-18T19:00:25-07:00</t>
  </si>
  <si>
    <t>Direct:Victor Emanuel Nature Tours</t>
  </si>
  <si>
    <t>0020512913596dc810456f8f77b2680f03f497</t>
  </si>
  <si>
    <t>celeste@ventbird.com</t>
  </si>
  <si>
    <t>2024-12-03T16:39:53-08:00</t>
  </si>
  <si>
    <t>2025-04-03T17:59:56-07:00</t>
  </si>
  <si>
    <t>Direct:Frosch Travel</t>
  </si>
  <si>
    <t>002051bd39c608f29941aab2c5aacd744f0517</t>
  </si>
  <si>
    <t>2025-04-03T17:59:49-07:00</t>
  </si>
  <si>
    <t>Direct:Going Places Travel</t>
  </si>
  <si>
    <t>002051613ad3316f6e4de3a031eab16c2988ae</t>
  </si>
  <si>
    <t>2025-04-03T17:59:44-07:00</t>
  </si>
  <si>
    <t>Direct:The Wright Company:The Wright Company</t>
  </si>
  <si>
    <t>002051b0d7754fb2db4d74b3a144aef7c51a79</t>
  </si>
  <si>
    <t>brandon.eisman@mfactormeetings.com</t>
  </si>
  <si>
    <t>Hualalai Investors, LLC,</t>
  </si>
  <si>
    <t>dba Four Seasons Resort Hualalai</t>
  </si>
  <si>
    <t>2024-12-03T16:39:54-08:00</t>
  </si>
  <si>
    <t>2025-04-03T17:59:14-07:00</t>
  </si>
  <si>
    <t>KFour Seasons:Four Seasons Hualalai</t>
  </si>
  <si>
    <t>Four Seasons Hualalai</t>
  </si>
  <si>
    <t>0020516190bc0eab59497689538cbe8ff12787</t>
  </si>
  <si>
    <t>Jerry Hiraishi_x000D_
Accounts Payable_x000D_
Four Seasons Resort Hualalai_x000D_
72-100 Ka'upulehu Drive _x000D_
Kailua Kona, HI 96740_x000D_
Voice:</t>
  </si>
  <si>
    <t>(808)325-8094</t>
  </si>
  <si>
    <t>2024-12-03T16:39:57-08:00</t>
  </si>
  <si>
    <t>2025-04-03T17:59:37-07:00</t>
  </si>
  <si>
    <t>KOZI:KOZI Sales &amp; Marketing Dept</t>
  </si>
  <si>
    <t>KOZI Sales &amp; Marketing Dept</t>
  </si>
  <si>
    <t>002051ac965acfbacd4843bc8b3818f7c95191</t>
  </si>
  <si>
    <t>2025-04-03T17:59:34-07:00</t>
  </si>
  <si>
    <t>KDirect:The Wright Company</t>
  </si>
  <si>
    <t>0020510f709731e734431f97dd1d47ff77ba17</t>
  </si>
  <si>
    <t>PonoRez</t>
  </si>
  <si>
    <t>Online</t>
  </si>
  <si>
    <t>KDirect:kDirect RockIt Events:RockIt Events</t>
  </si>
  <si>
    <t>RockIt Events</t>
  </si>
  <si>
    <t>002051383445cb1fd94c9cadf44d7b2434740e</t>
  </si>
  <si>
    <t>2025-04-03T17:58:43-07:00</t>
  </si>
  <si>
    <t>KDirect:kDirect Crossing Boundaries:Crossing Boundaries</t>
  </si>
  <si>
    <t>00205169a26dbac5d348bba3f7583ecac4de00</t>
  </si>
  <si>
    <t>2025-04-03T17:58:17-07:00</t>
  </si>
  <si>
    <t>KDirect:KAffiliate 20%:Affiliate 20%</t>
  </si>
  <si>
    <t>00205156adbf802b5c45acb1c37672e17c6174</t>
  </si>
  <si>
    <t>300 Ohukai Road, #315</t>
  </si>
  <si>
    <t>Kihei</t>
  </si>
  <si>
    <t>2024-12-03T16:40:04-08:00</t>
  </si>
  <si>
    <t>2025-04-03T17:58:36-07:00</t>
  </si>
  <si>
    <t>Chrysalis Events:Chrysalis Events Hawaii</t>
  </si>
  <si>
    <t>002051667d77da4b414bf7b888e3c7d692f309</t>
  </si>
  <si>
    <t>billing@chrysaliseventshawaii.com</t>
  </si>
  <si>
    <t>808-419-6816</t>
  </si>
  <si>
    <t>808-440-4526</t>
  </si>
  <si>
    <t>2025-04-03T17:58:30-07:00</t>
  </si>
  <si>
    <t>Chrysalis Events:Chrysalis Event Hawaii - FIT</t>
  </si>
  <si>
    <t>002051b3a16f6dbf1d4d31af3d37a46a484c90</t>
  </si>
  <si>
    <t>2024-12-13T14:03:47-08:00</t>
  </si>
  <si>
    <t>2025-04-08T18:25:52-07:00</t>
  </si>
  <si>
    <t>Direct:Affiliate 20%D:UGA</t>
  </si>
  <si>
    <t>UGA</t>
  </si>
  <si>
    <t>002051be411b0781564eaeaf1659c9792ee59d</t>
  </si>
  <si>
    <t>2024-12-19T18:28:57-08:00</t>
  </si>
  <si>
    <t>2025-04-02T13:11:37-07:00</t>
  </si>
  <si>
    <t>Direct:Resilient Indigenous Leaders Network</t>
  </si>
  <si>
    <t>002051e5d55eac493a46aa901a7f43a32b7ab9</t>
  </si>
  <si>
    <t>stephanie.lynn.puleo@gmail.com, groups@hawaii-forest.com</t>
  </si>
  <si>
    <t>2025-02-12T17:58:01-08:00</t>
  </si>
  <si>
    <t>2025-04-02T13:11:07-07:00</t>
  </si>
  <si>
    <t>Direct:Eagle Eye Tours</t>
  </si>
  <si>
    <t>Eagle Eye Tours</t>
  </si>
  <si>
    <t>0020513d02b28904c644a2acaa687f29d892a7</t>
  </si>
  <si>
    <t>juliana@eagle-eye.com</t>
  </si>
  <si>
    <t>2025-04-21T18:54:36-07:00</t>
  </si>
  <si>
    <t>2025-05-16T17:35:07-07:00</t>
  </si>
  <si>
    <t>KMC&amp;A:KMC&amp;A Groups:Cetera</t>
  </si>
  <si>
    <t>Cetera</t>
  </si>
  <si>
    <t>0020510967b68348b147ffbea19733a201427c</t>
  </si>
  <si>
    <t>2025-04-25T12:46:20-07:00</t>
  </si>
  <si>
    <t>2025-07-22T18:56:02-07:00</t>
  </si>
  <si>
    <t>MC&amp;A:MC&amp;A - Groups:Sentinel One HFT</t>
  </si>
  <si>
    <t>Sentinel One HFT</t>
  </si>
  <si>
    <t>0020514c8b985c712e401fa3a9b5ebb71e9ed6</t>
  </si>
  <si>
    <t>2025-04-25T13:06:52-07:00</t>
  </si>
  <si>
    <t>2025-07-07T18:36:53-07:00</t>
  </si>
  <si>
    <t>MC&amp;A:MC&amp;A - Groups:Sentinel One KOZI</t>
  </si>
  <si>
    <t>Sentinel One KOZI</t>
  </si>
  <si>
    <t>0020511ec481744c5041eea8656b0d7d9a34d3</t>
  </si>
  <si>
    <t>2025-04-25T16:27:45-07:00</t>
  </si>
  <si>
    <t>2025-04-25T16:29:22-07:00</t>
  </si>
  <si>
    <t>MC&amp;A:MC&amp;A - Groups:Otsuka HFT</t>
  </si>
  <si>
    <t>Otsuka HFT</t>
  </si>
  <si>
    <t>0020514af7d92362ef4b85b83f662126b14a23</t>
  </si>
  <si>
    <t>2025-04-25T17:32:52-07:00</t>
  </si>
  <si>
    <t>2025-06-05T12:28:24-07:00</t>
  </si>
  <si>
    <t>Chrysalis Events:25-LNH611</t>
  </si>
  <si>
    <t>25-LNH611</t>
  </si>
  <si>
    <t>002051edc49c067d614c718b827717c32b98ef</t>
  </si>
  <si>
    <t>2025-04-25T17:49:45-07:00</t>
  </si>
  <si>
    <t>2025-06-05T12:27:39-07:00</t>
  </si>
  <si>
    <t>KChrysalis Events Hawaii:25-LNH611KOZI</t>
  </si>
  <si>
    <t>25-LNH611KOZI</t>
  </si>
  <si>
    <t>002051dc91035d5c554378887697fae311dcaa</t>
  </si>
  <si>
    <t>2025-04-30T14:44:22-07:00</t>
  </si>
  <si>
    <t>2025-07-18T14:09:43-07:00</t>
  </si>
  <si>
    <t>MC&amp;A:Delinea</t>
  </si>
  <si>
    <t>Delinea</t>
  </si>
  <si>
    <t>002051b25b3cee8bd8491b8479006ea6d28fe9</t>
  </si>
  <si>
    <t>2025-05-20T19:20:58-07:00</t>
  </si>
  <si>
    <t>2025-06-10T17:45:27-07:00</t>
  </si>
  <si>
    <t>Direct:Polynesian Adventures</t>
  </si>
  <si>
    <t>Polynesian Adventures</t>
  </si>
  <si>
    <t>002051507c1c9a71574448bda88f1fce15b38e</t>
  </si>
  <si>
    <t>kelly@polyad.com</t>
  </si>
  <si>
    <t>2025-05-21T13:26:26-07:00</t>
  </si>
  <si>
    <t>2025-06-05T18:02:49-07:00</t>
  </si>
  <si>
    <t>Direct:Companion Life</t>
  </si>
  <si>
    <t>Companion Life</t>
  </si>
  <si>
    <t>002051e9ff69a556fd4ee4abfb9e6afbb0263a</t>
  </si>
  <si>
    <t>lora@exclusiveeme.com</t>
  </si>
  <si>
    <t>2025-07-10T19:39:31-07:00</t>
  </si>
  <si>
    <t>2025-09-08T17:34:54-07:00</t>
  </si>
  <si>
    <t>Pacific Island Institute:Welter Family</t>
  </si>
  <si>
    <t>Welter Family</t>
  </si>
  <si>
    <t>002051c1a812179d3c4ce0bad4fb5cb93b9416</t>
  </si>
  <si>
    <t>june@pac-island.com</t>
  </si>
  <si>
    <t>2025-07-11T12:29:11-07:00</t>
  </si>
  <si>
    <t>2025-08-16T01:10:45-07:00</t>
  </si>
  <si>
    <t>HD Premier:Elasticlub</t>
  </si>
  <si>
    <t>Elasticlub</t>
  </si>
  <si>
    <t>002051fe1cc06a89474bbb88dcd8cf47507d91</t>
  </si>
  <si>
    <t>tiari@hd-premier.com</t>
  </si>
  <si>
    <t>Does present in target ies project</t>
  </si>
  <si>
    <t>Does this present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</si>
</sst>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Verdana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selection activeCell="B2" sqref="B2"/>
    </sheetView>
  </sheetViews>
  <sheetFormatPr defaultRowHeight="16.2" x14ac:dyDescent="0.3"/>
  <cols>
    <col min="1" max="1" width="35" bestFit="1" customWidth="1"/>
    <col min="2" max="2" width="35" customWidth="1"/>
    <col min="3" max="3" width="28.3828125" bestFit="1" customWidth="1"/>
    <col min="4" max="4" width="12.4609375" bestFit="1" customWidth="1"/>
    <col min="5" max="5" width="8.921875" bestFit="1" customWidth="1"/>
    <col min="6" max="6" width="10.84375" bestFit="1" customWidth="1"/>
    <col min="7" max="7" width="4.61328125" bestFit="1" customWidth="1"/>
    <col min="8" max="9" width="10.23046875" bestFit="1" customWidth="1"/>
    <col min="10" max="10" width="9.53515625" bestFit="1" customWidth="1"/>
  </cols>
  <sheetData>
    <row r="1" spans="1:10" x14ac:dyDescent="0.3">
      <c r="A1" t="s">
        <v>0</v>
      </c>
      <c r="B1" t="s">
        <v>412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tr">
        <f>VLOOKUP(A2,Source!$AH:$AH,1,FALSE)</f>
        <v>Affiliate 20%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  <c r="J2" t="s">
        <v>16</v>
      </c>
    </row>
    <row r="3" spans="1:10" x14ac:dyDescent="0.3">
      <c r="A3" t="s">
        <v>17</v>
      </c>
      <c r="B3" t="e">
        <f>VLOOKUP(A3,Source!$AH:$AH,1,FALSE)</f>
        <v>#N/A</v>
      </c>
      <c r="C3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  <c r="I3" t="s">
        <v>15</v>
      </c>
      <c r="J3" t="s">
        <v>16</v>
      </c>
    </row>
    <row r="4" spans="1:10" x14ac:dyDescent="0.3">
      <c r="A4" t="s">
        <v>21</v>
      </c>
      <c r="B4" t="e">
        <f>VLOOKUP(A4,Source!$AH:$AH,1,FALSE)</f>
        <v>#N/A</v>
      </c>
      <c r="C4" t="s">
        <v>10</v>
      </c>
      <c r="D4" t="s">
        <v>22</v>
      </c>
      <c r="E4" t="s">
        <v>19</v>
      </c>
      <c r="F4" t="s">
        <v>20</v>
      </c>
      <c r="G4" t="s">
        <v>14</v>
      </c>
      <c r="H4" t="s">
        <v>15</v>
      </c>
      <c r="I4" t="s">
        <v>15</v>
      </c>
      <c r="J4" t="s">
        <v>16</v>
      </c>
    </row>
    <row r="5" spans="1:10" x14ac:dyDescent="0.3">
      <c r="A5" t="s">
        <v>23</v>
      </c>
      <c r="B5" t="e">
        <f>VLOOKUP(A5,Source!$AH:$AH,1,FALSE)</f>
        <v>#N/A</v>
      </c>
      <c r="C5" t="s">
        <v>10</v>
      </c>
      <c r="D5" t="s">
        <v>24</v>
      </c>
      <c r="E5" t="s">
        <v>19</v>
      </c>
      <c r="F5" t="s">
        <v>20</v>
      </c>
      <c r="G5" t="s">
        <v>14</v>
      </c>
      <c r="H5" t="s">
        <v>15</v>
      </c>
      <c r="I5" t="s">
        <v>15</v>
      </c>
      <c r="J5" t="s">
        <v>16</v>
      </c>
    </row>
    <row r="6" spans="1:10" x14ac:dyDescent="0.3">
      <c r="A6" t="s">
        <v>25</v>
      </c>
      <c r="B6" t="str">
        <f>VLOOKUP(A6,Source!$AH:$AH,1,FALSE)</f>
        <v>Chrysalis Event Hawaii - FIT</v>
      </c>
      <c r="C6" t="s">
        <v>26</v>
      </c>
      <c r="D6" t="s">
        <v>27</v>
      </c>
      <c r="E6" t="s">
        <v>19</v>
      </c>
      <c r="F6" t="s">
        <v>20</v>
      </c>
      <c r="G6" t="s">
        <v>14</v>
      </c>
      <c r="H6" t="s">
        <v>28</v>
      </c>
      <c r="I6" t="s">
        <v>28</v>
      </c>
      <c r="J6" t="s">
        <v>16</v>
      </c>
    </row>
    <row r="7" spans="1:10" x14ac:dyDescent="0.3">
      <c r="A7" t="s">
        <v>29</v>
      </c>
      <c r="B7" t="str">
        <f>VLOOKUP(A7,Source!$AH:$AH,1,FALSE)</f>
        <v>Chrysalis Events Hawaii</v>
      </c>
      <c r="C7" t="s">
        <v>26</v>
      </c>
      <c r="D7" t="s">
        <v>30</v>
      </c>
      <c r="E7" t="s">
        <v>31</v>
      </c>
      <c r="F7" t="s">
        <v>20</v>
      </c>
      <c r="G7" t="s">
        <v>14</v>
      </c>
      <c r="H7" t="s">
        <v>28</v>
      </c>
      <c r="I7" t="s">
        <v>28</v>
      </c>
      <c r="J7" t="s">
        <v>16</v>
      </c>
    </row>
    <row r="8" spans="1:10" x14ac:dyDescent="0.3">
      <c r="A8" t="s">
        <v>32</v>
      </c>
      <c r="B8" t="str">
        <f>VLOOKUP(A8,Source!$AH:$AH,1,FALSE)</f>
        <v>Crossing Boundaries</v>
      </c>
      <c r="C8" t="s">
        <v>33</v>
      </c>
      <c r="D8" t="s">
        <v>34</v>
      </c>
      <c r="E8" t="s">
        <v>19</v>
      </c>
      <c r="F8" t="s">
        <v>20</v>
      </c>
      <c r="G8" t="s">
        <v>14</v>
      </c>
      <c r="H8" t="s">
        <v>15</v>
      </c>
      <c r="I8" t="s">
        <v>15</v>
      </c>
      <c r="J8" t="s">
        <v>16</v>
      </c>
    </row>
    <row r="9" spans="1:10" x14ac:dyDescent="0.3">
      <c r="A9" t="s">
        <v>35</v>
      </c>
      <c r="B9" t="e">
        <f>VLOOKUP(A9,Source!$AH:$AH,1,FALSE)</f>
        <v>#N/A</v>
      </c>
      <c r="C9" t="s">
        <v>36</v>
      </c>
      <c r="D9" t="s">
        <v>37</v>
      </c>
      <c r="E9" t="s">
        <v>38</v>
      </c>
      <c r="F9" t="s">
        <v>20</v>
      </c>
      <c r="G9" t="s">
        <v>14</v>
      </c>
      <c r="H9" t="s">
        <v>28</v>
      </c>
      <c r="I9" t="s">
        <v>28</v>
      </c>
      <c r="J9" t="s">
        <v>16</v>
      </c>
    </row>
    <row r="10" spans="1:10" x14ac:dyDescent="0.3">
      <c r="A10" t="s">
        <v>39</v>
      </c>
      <c r="B10" t="str">
        <f>VLOOKUP(A10,Source!$AH:$AH,1,FALSE)</f>
        <v>Desilva Meetings Consultants- Groups</v>
      </c>
      <c r="C10" t="s">
        <v>36</v>
      </c>
      <c r="D10" t="s">
        <v>40</v>
      </c>
      <c r="E10" t="s">
        <v>19</v>
      </c>
      <c r="F10" t="s">
        <v>20</v>
      </c>
      <c r="G10" t="s">
        <v>14</v>
      </c>
      <c r="H10" t="s">
        <v>28</v>
      </c>
      <c r="I10" t="s">
        <v>28</v>
      </c>
      <c r="J10" t="s">
        <v>16</v>
      </c>
    </row>
    <row r="11" spans="1:10" x14ac:dyDescent="0.3">
      <c r="A11" t="s">
        <v>41</v>
      </c>
      <c r="B11" t="str">
        <f>VLOOKUP(A11,Source!$AH:$AH,1,FALSE)</f>
        <v>DoTerra</v>
      </c>
      <c r="C11" t="s">
        <v>10</v>
      </c>
      <c r="D11" t="s">
        <v>42</v>
      </c>
      <c r="E11" t="s">
        <v>19</v>
      </c>
      <c r="F11" t="s">
        <v>20</v>
      </c>
      <c r="G11" t="s">
        <v>14</v>
      </c>
      <c r="H11" t="s">
        <v>15</v>
      </c>
      <c r="I11" t="s">
        <v>15</v>
      </c>
      <c r="J11" t="s">
        <v>16</v>
      </c>
    </row>
    <row r="12" spans="1:10" x14ac:dyDescent="0.3">
      <c r="A12" t="s">
        <v>43</v>
      </c>
      <c r="B12" t="e">
        <f>VLOOKUP(A12,Source!$AH:$AH,1,FALSE)</f>
        <v>#N/A</v>
      </c>
      <c r="C12" t="s">
        <v>44</v>
      </c>
      <c r="D12" t="s">
        <v>45</v>
      </c>
      <c r="E12" t="s">
        <v>19</v>
      </c>
      <c r="F12" t="s">
        <v>20</v>
      </c>
      <c r="G12" t="s">
        <v>14</v>
      </c>
      <c r="H12" t="s">
        <v>28</v>
      </c>
      <c r="I12" t="s">
        <v>28</v>
      </c>
      <c r="J12" t="s">
        <v>16</v>
      </c>
    </row>
    <row r="13" spans="1:10" x14ac:dyDescent="0.3">
      <c r="A13" t="s">
        <v>46</v>
      </c>
      <c r="B13" t="str">
        <f>VLOOKUP(A13,Source!$AH:$AH,1,FALSE)</f>
        <v>FIT</v>
      </c>
      <c r="C13" t="s">
        <v>47</v>
      </c>
      <c r="D13" t="s">
        <v>48</v>
      </c>
      <c r="E13" t="s">
        <v>19</v>
      </c>
      <c r="F13" t="s">
        <v>20</v>
      </c>
      <c r="G13" t="s">
        <v>14</v>
      </c>
      <c r="H13" t="s">
        <v>28</v>
      </c>
      <c r="I13" t="s">
        <v>28</v>
      </c>
      <c r="J13" t="s">
        <v>16</v>
      </c>
    </row>
    <row r="14" spans="1:10" x14ac:dyDescent="0.3">
      <c r="A14" t="s">
        <v>49</v>
      </c>
      <c r="B14" t="str">
        <f>VLOOKUP(A14,Source!$AH:$AH,1,FALSE)</f>
        <v>Frosch Travel</v>
      </c>
      <c r="C14" t="s">
        <v>10</v>
      </c>
      <c r="D14" t="s">
        <v>50</v>
      </c>
      <c r="E14" t="s">
        <v>51</v>
      </c>
      <c r="F14" t="s">
        <v>52</v>
      </c>
      <c r="G14" t="s">
        <v>14</v>
      </c>
      <c r="H14" t="s">
        <v>15</v>
      </c>
      <c r="I14" t="s">
        <v>15</v>
      </c>
      <c r="J14" t="s">
        <v>16</v>
      </c>
    </row>
    <row r="15" spans="1:10" x14ac:dyDescent="0.3">
      <c r="A15" t="s">
        <v>53</v>
      </c>
      <c r="B15" t="str">
        <f>VLOOKUP(A15,Source!$AH:$AH,1,FALSE)</f>
        <v>Going Places Travel</v>
      </c>
      <c r="C15" t="s">
        <v>10</v>
      </c>
      <c r="D15" t="s">
        <v>54</v>
      </c>
      <c r="E15" t="s">
        <v>19</v>
      </c>
      <c r="F15" t="s">
        <v>20</v>
      </c>
      <c r="G15" t="s">
        <v>14</v>
      </c>
      <c r="H15" t="s">
        <v>15</v>
      </c>
      <c r="I15" t="s">
        <v>15</v>
      </c>
      <c r="J15" t="s">
        <v>16</v>
      </c>
    </row>
    <row r="16" spans="1:10" x14ac:dyDescent="0.3">
      <c r="A16" t="s">
        <v>55</v>
      </c>
      <c r="B16" t="str">
        <f>VLOOKUP(A16,Source!$AH:$AH,1,FALSE)</f>
        <v>Groups</v>
      </c>
      <c r="C16" t="s">
        <v>47</v>
      </c>
      <c r="D16" t="s">
        <v>56</v>
      </c>
      <c r="E16" t="s">
        <v>57</v>
      </c>
      <c r="F16" t="s">
        <v>58</v>
      </c>
      <c r="G16" t="s">
        <v>14</v>
      </c>
      <c r="H16" t="s">
        <v>28</v>
      </c>
      <c r="I16" t="s">
        <v>28</v>
      </c>
      <c r="J16" t="s">
        <v>16</v>
      </c>
    </row>
    <row r="17" spans="1:10" x14ac:dyDescent="0.3">
      <c r="A17" t="s">
        <v>59</v>
      </c>
      <c r="B17" t="str">
        <f>VLOOKUP(A17,Source!$AH:$AH,1,FALSE)</f>
        <v>Hualalai Investors  dba Four Seasons Reso</v>
      </c>
      <c r="C17" t="s">
        <v>60</v>
      </c>
      <c r="D17" t="s">
        <v>61</v>
      </c>
      <c r="E17" t="s">
        <v>62</v>
      </c>
      <c r="F17" t="s">
        <v>58</v>
      </c>
      <c r="G17" t="s">
        <v>14</v>
      </c>
      <c r="H17" t="s">
        <v>28</v>
      </c>
      <c r="I17" t="s">
        <v>28</v>
      </c>
      <c r="J17" t="s">
        <v>16</v>
      </c>
    </row>
    <row r="18" spans="1:10" x14ac:dyDescent="0.3">
      <c r="A18" t="s">
        <v>63</v>
      </c>
      <c r="B18" t="str">
        <f>VLOOKUP(A18,Source!$AH:$AH,1,FALSE)</f>
        <v>Hualalai Investors Hotel dba Four Seasons</v>
      </c>
      <c r="C18" t="s">
        <v>60</v>
      </c>
      <c r="D18" t="s">
        <v>64</v>
      </c>
      <c r="E18" t="s">
        <v>19</v>
      </c>
      <c r="F18" t="s">
        <v>20</v>
      </c>
      <c r="G18" t="s">
        <v>14</v>
      </c>
      <c r="H18" t="s">
        <v>28</v>
      </c>
      <c r="I18" t="s">
        <v>28</v>
      </c>
      <c r="J18" t="s">
        <v>16</v>
      </c>
    </row>
    <row r="19" spans="1:10" x14ac:dyDescent="0.3">
      <c r="A19" t="s">
        <v>65</v>
      </c>
      <c r="B19" t="str">
        <f>VLOOKUP(A19,Source!$AH:$AH,1,FALSE)</f>
        <v>Island Partners Hawaii - FIT</v>
      </c>
      <c r="C19" t="s">
        <v>47</v>
      </c>
      <c r="D19" t="s">
        <v>66</v>
      </c>
      <c r="E19" t="s">
        <v>67</v>
      </c>
      <c r="F19" t="s">
        <v>20</v>
      </c>
      <c r="G19" t="s">
        <v>14</v>
      </c>
      <c r="H19" t="s">
        <v>28</v>
      </c>
      <c r="I19" t="s">
        <v>28</v>
      </c>
      <c r="J19" t="s">
        <v>16</v>
      </c>
    </row>
    <row r="20" spans="1:10" x14ac:dyDescent="0.3">
      <c r="A20" t="s">
        <v>68</v>
      </c>
      <c r="B20" t="e">
        <f>VLOOKUP(A20,Source!$AH:$AH,1,FALSE)</f>
        <v>#N/A</v>
      </c>
      <c r="C20" t="s">
        <v>69</v>
      </c>
      <c r="D20" t="s">
        <v>70</v>
      </c>
      <c r="E20" t="s">
        <v>71</v>
      </c>
      <c r="F20" t="s">
        <v>72</v>
      </c>
      <c r="G20" t="s">
        <v>14</v>
      </c>
      <c r="H20" t="s">
        <v>28</v>
      </c>
      <c r="I20" t="s">
        <v>28</v>
      </c>
      <c r="J20" t="s">
        <v>16</v>
      </c>
    </row>
    <row r="21" spans="1:10" x14ac:dyDescent="0.3">
      <c r="A21" t="s">
        <v>73</v>
      </c>
      <c r="B21" t="str">
        <f>VLOOKUP(A21,Source!$AH:$AH,1,FALSE)</f>
        <v>Kathy Clarke's Meeting - Groups</v>
      </c>
      <c r="C21" t="s">
        <v>74</v>
      </c>
      <c r="D21" t="s">
        <v>75</v>
      </c>
      <c r="E21" t="s">
        <v>19</v>
      </c>
      <c r="F21" t="s">
        <v>20</v>
      </c>
      <c r="G21" t="s">
        <v>14</v>
      </c>
      <c r="H21" t="s">
        <v>28</v>
      </c>
      <c r="I21" t="s">
        <v>28</v>
      </c>
      <c r="J21" t="s">
        <v>16</v>
      </c>
    </row>
    <row r="22" spans="1:10" x14ac:dyDescent="0.3">
      <c r="A22" t="s">
        <v>76</v>
      </c>
      <c r="B22" t="str">
        <f>VLOOKUP(A22,Source!$AH:$AH,1,FALSE)</f>
        <v>MC&amp;A - Groups</v>
      </c>
      <c r="C22" t="s">
        <v>47</v>
      </c>
      <c r="D22" t="s">
        <v>77</v>
      </c>
      <c r="E22" t="s">
        <v>78</v>
      </c>
      <c r="F22" t="s">
        <v>79</v>
      </c>
      <c r="G22" t="s">
        <v>14</v>
      </c>
      <c r="H22" t="s">
        <v>28</v>
      </c>
      <c r="I22" t="s">
        <v>28</v>
      </c>
      <c r="J22" t="s">
        <v>16</v>
      </c>
    </row>
    <row r="23" spans="1:10" x14ac:dyDescent="0.3">
      <c r="A23" t="s">
        <v>80</v>
      </c>
      <c r="B23" t="e">
        <f>VLOOKUP(A23,Source!$AH:$AH,1,FALSE)</f>
        <v>#N/A</v>
      </c>
      <c r="C23" t="s">
        <v>10</v>
      </c>
      <c r="D23" t="s">
        <v>81</v>
      </c>
      <c r="E23" t="s">
        <v>82</v>
      </c>
      <c r="F23" t="s">
        <v>83</v>
      </c>
      <c r="G23" t="s">
        <v>14</v>
      </c>
      <c r="H23" t="s">
        <v>15</v>
      </c>
      <c r="I23" t="s">
        <v>15</v>
      </c>
      <c r="J23" t="s">
        <v>16</v>
      </c>
    </row>
    <row r="24" spans="1:10" x14ac:dyDescent="0.3">
      <c r="A24" t="s">
        <v>84</v>
      </c>
      <c r="B24" t="e">
        <f>VLOOKUP(A24,Source!$AH:$AH,1,FALSE)</f>
        <v>#N/A</v>
      </c>
      <c r="C24" t="s">
        <v>85</v>
      </c>
      <c r="D24" t="s">
        <v>86</v>
      </c>
      <c r="E24" t="s">
        <v>19</v>
      </c>
      <c r="F24" t="s">
        <v>20</v>
      </c>
      <c r="G24" t="s">
        <v>14</v>
      </c>
      <c r="H24" t="s">
        <v>28</v>
      </c>
      <c r="I24" t="s">
        <v>28</v>
      </c>
      <c r="J24" t="s">
        <v>16</v>
      </c>
    </row>
    <row r="25" spans="1:10" x14ac:dyDescent="0.3">
      <c r="A25" t="s">
        <v>87</v>
      </c>
      <c r="B25" t="e">
        <f>VLOOKUP(A25,Source!$AH:$AH,1,FALSE)</f>
        <v>#N/A</v>
      </c>
      <c r="C25" t="s">
        <v>85</v>
      </c>
      <c r="D25" t="s">
        <v>88</v>
      </c>
      <c r="E25" t="s">
        <v>89</v>
      </c>
      <c r="F25" t="s">
        <v>90</v>
      </c>
      <c r="G25" t="s">
        <v>14</v>
      </c>
      <c r="H25" t="s">
        <v>28</v>
      </c>
      <c r="I25" t="s">
        <v>28</v>
      </c>
      <c r="J25" t="s">
        <v>16</v>
      </c>
    </row>
    <row r="26" spans="1:10" x14ac:dyDescent="0.3">
      <c r="A26" t="s">
        <v>91</v>
      </c>
      <c r="B26" t="str">
        <f>VLOOKUP(A26,Source!$AH:$AH,1,FALSE)</f>
        <v>Paradise Helicopters - Agency</v>
      </c>
      <c r="C26" t="s">
        <v>92</v>
      </c>
      <c r="D26" t="s">
        <v>93</v>
      </c>
      <c r="E26" t="s">
        <v>19</v>
      </c>
      <c r="F26" t="s">
        <v>20</v>
      </c>
      <c r="G26" t="s">
        <v>14</v>
      </c>
      <c r="H26" t="s">
        <v>94</v>
      </c>
      <c r="I26" t="s">
        <v>94</v>
      </c>
      <c r="J26" t="s">
        <v>16</v>
      </c>
    </row>
    <row r="27" spans="1:10" x14ac:dyDescent="0.3">
      <c r="A27" t="s">
        <v>95</v>
      </c>
      <c r="B27" t="str">
        <f>VLOOKUP(A27,Source!$AH:$AH,1,FALSE)</f>
        <v>Paradise Helicopters - Groups</v>
      </c>
      <c r="C27" t="s">
        <v>92</v>
      </c>
      <c r="D27" t="s">
        <v>96</v>
      </c>
      <c r="E27" t="s">
        <v>97</v>
      </c>
      <c r="F27" t="s">
        <v>20</v>
      </c>
      <c r="G27" t="s">
        <v>14</v>
      </c>
      <c r="H27" t="s">
        <v>28</v>
      </c>
      <c r="I27" t="s">
        <v>28</v>
      </c>
      <c r="J27" t="s">
        <v>16</v>
      </c>
    </row>
    <row r="28" spans="1:10" x14ac:dyDescent="0.3">
      <c r="A28" t="s">
        <v>98</v>
      </c>
      <c r="B28" t="e">
        <f>VLOOKUP(A28,Source!$AH:$AH,1,FALSE)</f>
        <v>#N/A</v>
      </c>
      <c r="C28" t="s">
        <v>92</v>
      </c>
      <c r="D28" t="s">
        <v>99</v>
      </c>
      <c r="E28" t="s">
        <v>100</v>
      </c>
      <c r="F28" t="s">
        <v>13</v>
      </c>
      <c r="G28" t="s">
        <v>14</v>
      </c>
      <c r="H28" t="s">
        <v>94</v>
      </c>
      <c r="I28" t="s">
        <v>94</v>
      </c>
      <c r="J28" t="s">
        <v>16</v>
      </c>
    </row>
    <row r="29" spans="1:10" x14ac:dyDescent="0.3">
      <c r="A29" t="s">
        <v>101</v>
      </c>
      <c r="B29" t="str">
        <f>VLOOKUP(A29,Source!$AH:$AH,1,FALSE)</f>
        <v>Resilient Indigenous Leaders Network</v>
      </c>
      <c r="C29" t="s">
        <v>10</v>
      </c>
      <c r="D29" t="s">
        <v>102</v>
      </c>
      <c r="E29" t="s">
        <v>103</v>
      </c>
      <c r="F29" t="s">
        <v>104</v>
      </c>
      <c r="G29" t="s">
        <v>14</v>
      </c>
      <c r="H29" t="s">
        <v>15</v>
      </c>
      <c r="I29" t="s">
        <v>15</v>
      </c>
      <c r="J29" t="s">
        <v>16</v>
      </c>
    </row>
    <row r="30" spans="1:10" x14ac:dyDescent="0.3">
      <c r="A30" t="s">
        <v>105</v>
      </c>
      <c r="B30" t="str">
        <f>VLOOKUP(A30,Source!$AH:$AH,1,FALSE)</f>
        <v>Rockit Events</v>
      </c>
      <c r="C30" t="s">
        <v>10</v>
      </c>
      <c r="D30" t="s">
        <v>106</v>
      </c>
      <c r="E30" t="s">
        <v>19</v>
      </c>
      <c r="F30" t="s">
        <v>20</v>
      </c>
      <c r="G30" t="s">
        <v>14</v>
      </c>
      <c r="H30" t="s">
        <v>107</v>
      </c>
      <c r="I30" t="s">
        <v>28</v>
      </c>
      <c r="J30" t="s">
        <v>16</v>
      </c>
    </row>
    <row r="31" spans="1:10" x14ac:dyDescent="0.3">
      <c r="A31" t="s">
        <v>108</v>
      </c>
      <c r="B31" t="e">
        <f>VLOOKUP(A31,Source!$AH:$AH,1,FALSE)</f>
        <v>#N/A</v>
      </c>
      <c r="C31" t="s">
        <v>109</v>
      </c>
      <c r="D31" t="s">
        <v>110</v>
      </c>
      <c r="E31" t="s">
        <v>111</v>
      </c>
      <c r="F31" t="s">
        <v>52</v>
      </c>
      <c r="G31" t="s">
        <v>14</v>
      </c>
      <c r="H31" t="s">
        <v>28</v>
      </c>
      <c r="I31" t="s">
        <v>28</v>
      </c>
      <c r="J31" t="s">
        <v>16</v>
      </c>
    </row>
    <row r="32" spans="1:10" x14ac:dyDescent="0.3">
      <c r="A32" t="s">
        <v>112</v>
      </c>
      <c r="B32" t="e">
        <f>VLOOKUP(A32,Source!$AH:$AH,1,FALSE)</f>
        <v>#N/A</v>
      </c>
      <c r="C32" t="s">
        <v>10</v>
      </c>
      <c r="D32" t="s">
        <v>113</v>
      </c>
      <c r="E32" t="s">
        <v>19</v>
      </c>
      <c r="F32" t="s">
        <v>20</v>
      </c>
      <c r="G32" t="s">
        <v>14</v>
      </c>
      <c r="H32" t="s">
        <v>15</v>
      </c>
      <c r="I32" t="s">
        <v>15</v>
      </c>
      <c r="J32" t="s">
        <v>16</v>
      </c>
    </row>
    <row r="33" spans="1:10" x14ac:dyDescent="0.3">
      <c r="A33" t="s">
        <v>114</v>
      </c>
      <c r="B33" t="str">
        <f>VLOOKUP(A33,Source!$AH:$AH,1,FALSE)</f>
        <v>The Wright Company</v>
      </c>
      <c r="C33" t="s">
        <v>10</v>
      </c>
      <c r="D33" t="s">
        <v>115</v>
      </c>
      <c r="E33" t="s">
        <v>19</v>
      </c>
      <c r="F33" t="s">
        <v>20</v>
      </c>
      <c r="G33" t="s">
        <v>14</v>
      </c>
      <c r="H33" t="s">
        <v>15</v>
      </c>
      <c r="I33" t="s">
        <v>15</v>
      </c>
      <c r="J33" t="s">
        <v>16</v>
      </c>
    </row>
    <row r="34" spans="1:10" x14ac:dyDescent="0.3">
      <c r="A34" t="s">
        <v>116</v>
      </c>
      <c r="B34" t="e">
        <f>VLOOKUP(A34,Source!$AH:$AH,1,FALSE)</f>
        <v>#N/A</v>
      </c>
      <c r="C34" t="s">
        <v>117</v>
      </c>
      <c r="D34" t="s">
        <v>118</v>
      </c>
      <c r="E34" t="s">
        <v>119</v>
      </c>
      <c r="F34" t="s">
        <v>58</v>
      </c>
      <c r="G34" t="s">
        <v>14</v>
      </c>
      <c r="H34" t="s">
        <v>28</v>
      </c>
      <c r="I34" t="s">
        <v>28</v>
      </c>
      <c r="J34" t="s">
        <v>16</v>
      </c>
    </row>
    <row r="35" spans="1:10" x14ac:dyDescent="0.3">
      <c r="A35" t="s">
        <v>120</v>
      </c>
      <c r="B35" t="e">
        <f>VLOOKUP(A35,Source!$AH:$AH,1,FALSE)</f>
        <v>#N/A</v>
      </c>
      <c r="C35" t="s">
        <v>10</v>
      </c>
      <c r="D35" t="s">
        <v>121</v>
      </c>
      <c r="E35" t="s">
        <v>19</v>
      </c>
      <c r="F35" t="s">
        <v>20</v>
      </c>
      <c r="G35" t="s">
        <v>14</v>
      </c>
      <c r="H35" t="s">
        <v>15</v>
      </c>
      <c r="I35" t="s">
        <v>15</v>
      </c>
      <c r="J35" t="s">
        <v>16</v>
      </c>
    </row>
    <row r="36" spans="1:10" x14ac:dyDescent="0.3">
      <c r="A36" t="s">
        <v>122</v>
      </c>
      <c r="B36" t="str">
        <f>VLOOKUP(A36,Source!$AH:$AH,1,FALSE)</f>
        <v>Victor Emanuel Nature Tours</v>
      </c>
      <c r="C36" t="s">
        <v>10</v>
      </c>
      <c r="D36" t="s">
        <v>123</v>
      </c>
      <c r="E36" t="s">
        <v>19</v>
      </c>
      <c r="F36" t="s">
        <v>20</v>
      </c>
      <c r="G36" t="s">
        <v>14</v>
      </c>
      <c r="H36" t="s">
        <v>15</v>
      </c>
      <c r="I36" t="s">
        <v>15</v>
      </c>
      <c r="J36" t="s">
        <v>16</v>
      </c>
    </row>
  </sheetData>
  <autoFilter ref="A1:J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2D68-57A8-42E1-87E6-11A6DCFDDE75}">
  <sheetPr filterMode="1"/>
  <dimension ref="A1:BH42"/>
  <sheetViews>
    <sheetView tabSelected="1" topLeftCell="AG1" workbookViewId="0">
      <selection activeCell="AG38" sqref="AG38"/>
    </sheetView>
  </sheetViews>
  <sheetFormatPr defaultRowHeight="16.2" x14ac:dyDescent="0.3"/>
  <cols>
    <col min="1" max="1" width="6.84375" bestFit="1" customWidth="1"/>
    <col min="2" max="2" width="9" bestFit="1" customWidth="1"/>
    <col min="3" max="3" width="23.07421875" bestFit="1" customWidth="1"/>
    <col min="4" max="4" width="27.3046875" bestFit="1" customWidth="1"/>
    <col min="5" max="5" width="13.765625" bestFit="1" customWidth="1"/>
    <col min="6" max="6" width="10.53515625" bestFit="1" customWidth="1"/>
    <col min="7" max="7" width="27" bestFit="1" customWidth="1"/>
    <col min="8" max="8" width="16" bestFit="1" customWidth="1"/>
    <col min="9" max="9" width="10" bestFit="1" customWidth="1"/>
    <col min="10" max="10" width="23.07421875" bestFit="1" customWidth="1"/>
    <col min="11" max="11" width="27.3046875" bestFit="1" customWidth="1"/>
    <col min="12" max="12" width="13.765625" bestFit="1" customWidth="1"/>
    <col min="13" max="13" width="11.53515625" bestFit="1" customWidth="1"/>
    <col min="14" max="14" width="28" bestFit="1" customWidth="1"/>
    <col min="15" max="15" width="17.07421875" bestFit="1" customWidth="1"/>
    <col min="16" max="16" width="5" bestFit="1" customWidth="1"/>
    <col min="17" max="17" width="12" bestFit="1" customWidth="1"/>
    <col min="18" max="18" width="6.921875" bestFit="1" customWidth="1"/>
    <col min="19" max="19" width="13.921875" bestFit="1" customWidth="1"/>
    <col min="20" max="20" width="15.3046875" bestFit="1" customWidth="1"/>
    <col min="21" max="21" width="16.61328125" bestFit="1" customWidth="1"/>
    <col min="22" max="22" width="20.3828125" bestFit="1" customWidth="1"/>
    <col min="23" max="23" width="7.61328125" bestFit="1" customWidth="1"/>
    <col min="24" max="24" width="11.53515625" bestFit="1" customWidth="1"/>
    <col min="25" max="25" width="6.53515625" bestFit="1" customWidth="1"/>
    <col min="26" max="26" width="5.84375" bestFit="1" customWidth="1"/>
    <col min="27" max="27" width="4.84375" bestFit="1" customWidth="1"/>
    <col min="28" max="28" width="4.84375" customWidth="1"/>
    <col min="29" max="29" width="9.3046875" bestFit="1" customWidth="1"/>
    <col min="30" max="31" width="24.15234375" bestFit="1" customWidth="1"/>
    <col min="32" max="32" width="54.69140625" bestFit="1" customWidth="1"/>
    <col min="33" max="33" width="54.69140625" customWidth="1"/>
    <col min="34" max="35" width="34.4609375" bestFit="1" customWidth="1"/>
    <col min="36" max="36" width="5.61328125" bestFit="1" customWidth="1"/>
    <col min="37" max="37" width="38.23046875" bestFit="1" customWidth="1"/>
    <col min="38" max="38" width="16.3828125" bestFit="1" customWidth="1"/>
    <col min="39" max="39" width="16.4609375" bestFit="1" customWidth="1"/>
    <col min="40" max="40" width="19.15234375" bestFit="1" customWidth="1"/>
    <col min="41" max="41" width="50.69140625" bestFit="1" customWidth="1"/>
    <col min="42" max="42" width="48.61328125" bestFit="1" customWidth="1"/>
    <col min="43" max="43" width="19.4609375" bestFit="1" customWidth="1"/>
    <col min="44" max="44" width="27.3046875" bestFit="1" customWidth="1"/>
    <col min="45" max="45" width="11.69140625" bestFit="1" customWidth="1"/>
    <col min="46" max="46" width="12.69140625" bestFit="1" customWidth="1"/>
    <col min="47" max="47" width="24.15234375" bestFit="1" customWidth="1"/>
    <col min="48" max="48" width="26.15234375" bestFit="1" customWidth="1"/>
    <col min="49" max="49" width="17.921875" bestFit="1" customWidth="1"/>
    <col min="50" max="50" width="9.84375" bestFit="1" customWidth="1"/>
    <col min="51" max="51" width="13.3046875" bestFit="1" customWidth="1"/>
    <col min="52" max="52" width="4.921875" bestFit="1" customWidth="1"/>
    <col min="53" max="53" width="20.53515625" bestFit="1" customWidth="1"/>
    <col min="54" max="54" width="20.765625" bestFit="1" customWidth="1"/>
    <col min="55" max="55" width="10.4609375" bestFit="1" customWidth="1"/>
    <col min="56" max="56" width="13.765625" bestFit="1" customWidth="1"/>
    <col min="57" max="57" width="14.765625" bestFit="1" customWidth="1"/>
    <col min="58" max="58" width="11.23046875" bestFit="1" customWidth="1"/>
    <col min="59" max="59" width="20.15234375" bestFit="1" customWidth="1"/>
    <col min="60" max="60" width="10.3046875" bestFit="1" customWidth="1"/>
  </cols>
  <sheetData>
    <row r="1" spans="1:60" x14ac:dyDescent="0.3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411</v>
      </c>
      <c r="AH1" t="s">
        <v>155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AR1" t="s">
        <v>165</v>
      </c>
      <c r="AS1" t="s">
        <v>166</v>
      </c>
      <c r="AT1" t="s">
        <v>167</v>
      </c>
      <c r="AU1" t="s">
        <v>168</v>
      </c>
      <c r="AV1" t="s">
        <v>169</v>
      </c>
      <c r="AW1" t="s">
        <v>170</v>
      </c>
      <c r="AX1" t="s">
        <v>171</v>
      </c>
      <c r="AY1" t="s">
        <v>172</v>
      </c>
      <c r="AZ1" t="s">
        <v>173</v>
      </c>
      <c r="BA1" t="s">
        <v>174</v>
      </c>
      <c r="BB1" t="s">
        <v>175</v>
      </c>
      <c r="BC1" t="s">
        <v>176</v>
      </c>
      <c r="BD1" t="s">
        <v>177</v>
      </c>
      <c r="BE1" t="s">
        <v>178</v>
      </c>
      <c r="BF1" t="s">
        <v>179</v>
      </c>
      <c r="BG1" t="s">
        <v>180</v>
      </c>
      <c r="BH1" t="s">
        <v>181</v>
      </c>
    </row>
    <row r="2" spans="1:60" ht="129.6" hidden="1" x14ac:dyDescent="0.3">
      <c r="A2" t="b">
        <v>0</v>
      </c>
      <c r="B2" t="s">
        <v>182</v>
      </c>
      <c r="C2" t="s">
        <v>182</v>
      </c>
      <c r="D2" t="s">
        <v>182</v>
      </c>
      <c r="E2" t="s">
        <v>182</v>
      </c>
      <c r="F2" t="s">
        <v>182</v>
      </c>
      <c r="G2" t="s">
        <v>182</v>
      </c>
      <c r="H2" t="s">
        <v>182</v>
      </c>
      <c r="I2" t="s">
        <v>182</v>
      </c>
      <c r="J2" t="s">
        <v>182</v>
      </c>
      <c r="K2" t="s">
        <v>182</v>
      </c>
      <c r="L2" t="s">
        <v>182</v>
      </c>
      <c r="M2" t="s">
        <v>182</v>
      </c>
      <c r="N2" t="s">
        <v>182</v>
      </c>
      <c r="O2" t="s">
        <v>182</v>
      </c>
      <c r="P2" t="b">
        <v>1</v>
      </c>
      <c r="Q2" t="b">
        <v>1</v>
      </c>
      <c r="R2">
        <v>0</v>
      </c>
      <c r="S2">
        <v>0</v>
      </c>
      <c r="T2" t="s">
        <v>183</v>
      </c>
      <c r="U2" t="s">
        <v>184</v>
      </c>
      <c r="V2" t="s">
        <v>185</v>
      </c>
      <c r="W2" t="b">
        <v>1</v>
      </c>
      <c r="X2">
        <v>0</v>
      </c>
      <c r="Y2" t="s">
        <v>186</v>
      </c>
      <c r="Z2" t="b">
        <v>0</v>
      </c>
      <c r="AA2">
        <v>19</v>
      </c>
      <c r="AC2">
        <v>6</v>
      </c>
      <c r="AD2" t="s">
        <v>187</v>
      </c>
      <c r="AE2" t="s">
        <v>188</v>
      </c>
      <c r="AF2" t="s">
        <v>189</v>
      </c>
      <c r="AG2" t="str">
        <f>VLOOKUP(AH2,Target_IES!$A:$A,1,FALSE)</f>
        <v>MC&amp;A - Groups</v>
      </c>
      <c r="AH2" t="s">
        <v>76</v>
      </c>
      <c r="AI2" t="s">
        <v>76</v>
      </c>
      <c r="AJ2" t="b">
        <v>1</v>
      </c>
      <c r="AK2" t="s">
        <v>190</v>
      </c>
      <c r="AL2">
        <v>8</v>
      </c>
      <c r="AM2" t="s">
        <v>191</v>
      </c>
      <c r="AN2">
        <v>99</v>
      </c>
      <c r="AO2" t="s">
        <v>192</v>
      </c>
      <c r="AP2" s="1" t="s">
        <v>193</v>
      </c>
      <c r="AQ2">
        <v>593703</v>
      </c>
      <c r="AR2" t="s">
        <v>182</v>
      </c>
      <c r="AS2" t="s">
        <v>182</v>
      </c>
      <c r="AT2" t="s">
        <v>182</v>
      </c>
      <c r="AU2" t="s">
        <v>47</v>
      </c>
      <c r="AV2" t="s">
        <v>194</v>
      </c>
      <c r="AW2" t="s">
        <v>182</v>
      </c>
      <c r="AX2" t="s">
        <v>182</v>
      </c>
      <c r="AY2">
        <v>16</v>
      </c>
      <c r="AZ2">
        <v>1</v>
      </c>
      <c r="BA2" t="s">
        <v>182</v>
      </c>
      <c r="BB2" t="s">
        <v>182</v>
      </c>
      <c r="BC2" t="s">
        <v>182</v>
      </c>
      <c r="BD2" t="s">
        <v>182</v>
      </c>
      <c r="BE2" t="s">
        <v>182</v>
      </c>
      <c r="BF2" t="s">
        <v>182</v>
      </c>
      <c r="BG2" t="s">
        <v>182</v>
      </c>
      <c r="BH2" t="s">
        <v>182</v>
      </c>
    </row>
    <row r="3" spans="1:60" x14ac:dyDescent="0.3">
      <c r="A3" t="b">
        <v>0</v>
      </c>
      <c r="B3">
        <v>15</v>
      </c>
      <c r="C3" t="s">
        <v>47</v>
      </c>
      <c r="D3" t="s">
        <v>182</v>
      </c>
      <c r="E3" t="s">
        <v>182</v>
      </c>
      <c r="F3" t="s">
        <v>182</v>
      </c>
      <c r="G3" t="s">
        <v>182</v>
      </c>
      <c r="H3" t="s">
        <v>182</v>
      </c>
      <c r="I3">
        <v>15</v>
      </c>
      <c r="J3" t="s">
        <v>47</v>
      </c>
      <c r="K3" t="s">
        <v>182</v>
      </c>
      <c r="L3" t="s">
        <v>182</v>
      </c>
      <c r="M3" t="s">
        <v>182</v>
      </c>
      <c r="N3" t="s">
        <v>182</v>
      </c>
      <c r="O3" t="s">
        <v>182</v>
      </c>
      <c r="P3" t="b">
        <v>1</v>
      </c>
      <c r="Q3" t="b">
        <v>1</v>
      </c>
      <c r="R3">
        <v>0</v>
      </c>
      <c r="S3">
        <v>0</v>
      </c>
      <c r="T3" t="s">
        <v>183</v>
      </c>
      <c r="U3" t="s">
        <v>184</v>
      </c>
      <c r="V3" t="s">
        <v>185</v>
      </c>
      <c r="W3" t="b">
        <v>1</v>
      </c>
      <c r="X3">
        <v>0</v>
      </c>
      <c r="Y3" t="s">
        <v>186</v>
      </c>
      <c r="Z3" t="b">
        <v>0</v>
      </c>
      <c r="AA3">
        <v>18</v>
      </c>
      <c r="AB3" t="str">
        <f>_xlfn.CONCAT("'",AA3,"'",",")</f>
        <v>'18',</v>
      </c>
      <c r="AC3">
        <v>3</v>
      </c>
      <c r="AD3" t="s">
        <v>187</v>
      </c>
      <c r="AE3" t="s">
        <v>195</v>
      </c>
      <c r="AF3" t="s">
        <v>196</v>
      </c>
      <c r="AG3" t="e">
        <f>VLOOKUP(AH3,Target_IES!$A:$A,1,FALSE)</f>
        <v>#N/A</v>
      </c>
      <c r="AH3" t="s">
        <v>197</v>
      </c>
      <c r="AI3" t="s">
        <v>197</v>
      </c>
      <c r="AJ3" t="b">
        <v>1</v>
      </c>
      <c r="AK3" t="s">
        <v>198</v>
      </c>
      <c r="AL3">
        <v>8</v>
      </c>
      <c r="AM3" t="s">
        <v>191</v>
      </c>
      <c r="AN3">
        <v>99</v>
      </c>
      <c r="AO3" t="s">
        <v>199</v>
      </c>
      <c r="AP3" t="s">
        <v>182</v>
      </c>
      <c r="AQ3">
        <v>593694</v>
      </c>
      <c r="AR3" t="s">
        <v>182</v>
      </c>
      <c r="AS3" t="s">
        <v>182</v>
      </c>
      <c r="AT3" t="s">
        <v>182</v>
      </c>
      <c r="AU3" t="s">
        <v>200</v>
      </c>
      <c r="AV3" t="s">
        <v>194</v>
      </c>
      <c r="AW3" t="s">
        <v>201</v>
      </c>
      <c r="AX3" t="s">
        <v>182</v>
      </c>
      <c r="AY3">
        <v>16</v>
      </c>
      <c r="AZ3">
        <v>1</v>
      </c>
      <c r="BA3" t="s">
        <v>182</v>
      </c>
      <c r="BB3" t="s">
        <v>182</v>
      </c>
      <c r="BC3" t="s">
        <v>182</v>
      </c>
      <c r="BD3" t="s">
        <v>182</v>
      </c>
      <c r="BE3" t="s">
        <v>182</v>
      </c>
      <c r="BF3" t="s">
        <v>182</v>
      </c>
      <c r="BG3" t="s">
        <v>182</v>
      </c>
      <c r="BH3" t="s">
        <v>182</v>
      </c>
    </row>
    <row r="4" spans="1:60" hidden="1" x14ac:dyDescent="0.3">
      <c r="A4" t="b">
        <v>0</v>
      </c>
      <c r="B4" t="s">
        <v>182</v>
      </c>
      <c r="C4" t="s">
        <v>182</v>
      </c>
      <c r="D4" t="s">
        <v>182</v>
      </c>
      <c r="E4" t="s">
        <v>182</v>
      </c>
      <c r="F4" t="s">
        <v>182</v>
      </c>
      <c r="G4" t="s">
        <v>182</v>
      </c>
      <c r="H4" t="s">
        <v>182</v>
      </c>
      <c r="I4" t="s">
        <v>182</v>
      </c>
      <c r="J4" t="s">
        <v>182</v>
      </c>
      <c r="K4" t="s">
        <v>182</v>
      </c>
      <c r="L4" t="s">
        <v>182</v>
      </c>
      <c r="M4" t="s">
        <v>182</v>
      </c>
      <c r="N4" t="s">
        <v>182</v>
      </c>
      <c r="O4" t="s">
        <v>182</v>
      </c>
      <c r="P4" t="b">
        <v>1</v>
      </c>
      <c r="Q4" t="b">
        <v>1</v>
      </c>
      <c r="R4">
        <v>0</v>
      </c>
      <c r="S4">
        <v>0</v>
      </c>
      <c r="T4" t="s">
        <v>183</v>
      </c>
      <c r="U4" t="s">
        <v>184</v>
      </c>
      <c r="V4" t="s">
        <v>185</v>
      </c>
      <c r="W4" t="b">
        <v>1</v>
      </c>
      <c r="X4">
        <v>0</v>
      </c>
      <c r="Y4" t="s">
        <v>186</v>
      </c>
      <c r="Z4" t="b">
        <v>0</v>
      </c>
      <c r="AA4">
        <v>17</v>
      </c>
      <c r="AC4">
        <v>3</v>
      </c>
      <c r="AD4" t="s">
        <v>187</v>
      </c>
      <c r="AE4" t="s">
        <v>202</v>
      </c>
      <c r="AF4" t="s">
        <v>203</v>
      </c>
      <c r="AG4" t="str">
        <f>VLOOKUP(AH4,Target_IES!$A:$A,1,FALSE)</f>
        <v>Island Partners Hawaii - FIT</v>
      </c>
      <c r="AH4" t="s">
        <v>65</v>
      </c>
      <c r="AI4" t="s">
        <v>65</v>
      </c>
      <c r="AJ4" t="b">
        <v>1</v>
      </c>
      <c r="AK4" t="s">
        <v>204</v>
      </c>
      <c r="AL4">
        <v>8</v>
      </c>
      <c r="AM4" t="s">
        <v>191</v>
      </c>
      <c r="AN4">
        <v>99</v>
      </c>
      <c r="AO4" t="s">
        <v>205</v>
      </c>
      <c r="AP4" t="s">
        <v>182</v>
      </c>
      <c r="AQ4">
        <v>593703</v>
      </c>
      <c r="AR4" t="s">
        <v>182</v>
      </c>
      <c r="AS4" t="s">
        <v>182</v>
      </c>
      <c r="AT4" t="s">
        <v>182</v>
      </c>
      <c r="AU4" t="s">
        <v>182</v>
      </c>
      <c r="AV4" t="s">
        <v>182</v>
      </c>
      <c r="AW4" t="s">
        <v>182</v>
      </c>
      <c r="AX4" t="s">
        <v>182</v>
      </c>
      <c r="AY4">
        <v>16</v>
      </c>
      <c r="AZ4">
        <v>1</v>
      </c>
      <c r="BA4" t="s">
        <v>182</v>
      </c>
      <c r="BB4" t="s">
        <v>182</v>
      </c>
      <c r="BC4" t="s">
        <v>182</v>
      </c>
      <c r="BD4" t="s">
        <v>182</v>
      </c>
      <c r="BE4" t="s">
        <v>182</v>
      </c>
      <c r="BF4" t="s">
        <v>182</v>
      </c>
      <c r="BG4" t="s">
        <v>182</v>
      </c>
      <c r="BH4" t="s">
        <v>182</v>
      </c>
    </row>
    <row r="5" spans="1:60" hidden="1" x14ac:dyDescent="0.3">
      <c r="A5" t="b">
        <v>0</v>
      </c>
      <c r="B5">
        <v>25</v>
      </c>
      <c r="C5" t="s">
        <v>206</v>
      </c>
      <c r="D5" t="s">
        <v>207</v>
      </c>
      <c r="E5" t="s">
        <v>182</v>
      </c>
      <c r="F5" t="s">
        <v>208</v>
      </c>
      <c r="G5" t="s">
        <v>209</v>
      </c>
      <c r="H5">
        <v>96740</v>
      </c>
      <c r="I5">
        <v>25</v>
      </c>
      <c r="J5" t="s">
        <v>206</v>
      </c>
      <c r="K5" t="s">
        <v>207</v>
      </c>
      <c r="L5" t="s">
        <v>182</v>
      </c>
      <c r="M5" t="s">
        <v>208</v>
      </c>
      <c r="N5" t="s">
        <v>209</v>
      </c>
      <c r="O5">
        <v>96740</v>
      </c>
      <c r="P5" t="b">
        <v>1</v>
      </c>
      <c r="Q5" t="b">
        <v>1</v>
      </c>
      <c r="R5">
        <v>0</v>
      </c>
      <c r="S5">
        <v>0</v>
      </c>
      <c r="T5" t="s">
        <v>183</v>
      </c>
      <c r="U5" t="s">
        <v>184</v>
      </c>
      <c r="V5" t="s">
        <v>185</v>
      </c>
      <c r="W5" t="b">
        <v>1</v>
      </c>
      <c r="X5">
        <v>0</v>
      </c>
      <c r="Y5" t="s">
        <v>186</v>
      </c>
      <c r="Z5" t="b">
        <v>0</v>
      </c>
      <c r="AA5">
        <v>37</v>
      </c>
      <c r="AC5">
        <v>3</v>
      </c>
      <c r="AD5" t="s">
        <v>210</v>
      </c>
      <c r="AE5" t="s">
        <v>211</v>
      </c>
      <c r="AF5" t="s">
        <v>212</v>
      </c>
      <c r="AG5" t="str">
        <f>VLOOKUP(AH5,Target_IES!$A:$A,1,FALSE)</f>
        <v>Hualalai Investors Hotel dba Four Seasons</v>
      </c>
      <c r="AH5" t="s">
        <v>63</v>
      </c>
      <c r="AI5" t="s">
        <v>63</v>
      </c>
      <c r="AJ5" t="b">
        <v>1</v>
      </c>
      <c r="AK5" t="s">
        <v>213</v>
      </c>
      <c r="AL5">
        <v>8</v>
      </c>
      <c r="AM5" t="s">
        <v>191</v>
      </c>
      <c r="AN5">
        <v>99</v>
      </c>
      <c r="AO5" t="s">
        <v>214</v>
      </c>
      <c r="AP5" t="s">
        <v>215</v>
      </c>
      <c r="AQ5">
        <v>593695</v>
      </c>
      <c r="AR5" t="s">
        <v>216</v>
      </c>
      <c r="AS5" t="s">
        <v>182</v>
      </c>
      <c r="AT5" t="s">
        <v>182</v>
      </c>
      <c r="AU5" t="s">
        <v>182</v>
      </c>
      <c r="AV5" t="s">
        <v>182</v>
      </c>
      <c r="AW5" t="s">
        <v>182</v>
      </c>
      <c r="AX5" t="s">
        <v>182</v>
      </c>
      <c r="AY5">
        <v>35</v>
      </c>
      <c r="AZ5">
        <v>1</v>
      </c>
      <c r="BA5" t="s">
        <v>182</v>
      </c>
      <c r="BB5" t="s">
        <v>182</v>
      </c>
      <c r="BC5" t="s">
        <v>182</v>
      </c>
      <c r="BD5" t="s">
        <v>182</v>
      </c>
      <c r="BE5" t="s">
        <v>182</v>
      </c>
      <c r="BF5" t="s">
        <v>182</v>
      </c>
      <c r="BG5" t="s">
        <v>182</v>
      </c>
      <c r="BH5" t="s">
        <v>182</v>
      </c>
    </row>
    <row r="6" spans="1:60" hidden="1" x14ac:dyDescent="0.3">
      <c r="A6" t="b">
        <v>0</v>
      </c>
      <c r="B6">
        <v>24</v>
      </c>
      <c r="C6" t="s">
        <v>217</v>
      </c>
      <c r="D6" t="s">
        <v>207</v>
      </c>
      <c r="E6" t="s">
        <v>182</v>
      </c>
      <c r="F6" t="s">
        <v>208</v>
      </c>
      <c r="G6" t="s">
        <v>209</v>
      </c>
      <c r="H6">
        <v>96740</v>
      </c>
      <c r="I6">
        <v>24</v>
      </c>
      <c r="J6" t="s">
        <v>217</v>
      </c>
      <c r="K6" t="s">
        <v>207</v>
      </c>
      <c r="L6" t="s">
        <v>182</v>
      </c>
      <c r="M6" t="s">
        <v>208</v>
      </c>
      <c r="N6" t="s">
        <v>209</v>
      </c>
      <c r="O6">
        <v>96740</v>
      </c>
      <c r="P6" t="b">
        <v>1</v>
      </c>
      <c r="Q6" t="b">
        <v>1</v>
      </c>
      <c r="R6">
        <v>0</v>
      </c>
      <c r="S6">
        <v>0</v>
      </c>
      <c r="T6" t="s">
        <v>183</v>
      </c>
      <c r="U6" t="s">
        <v>184</v>
      </c>
      <c r="V6" t="s">
        <v>185</v>
      </c>
      <c r="W6" t="b">
        <v>1</v>
      </c>
      <c r="X6">
        <v>0</v>
      </c>
      <c r="Y6" t="s">
        <v>186</v>
      </c>
      <c r="Z6" t="b">
        <v>0</v>
      </c>
      <c r="AA6">
        <v>36</v>
      </c>
      <c r="AC6">
        <v>3</v>
      </c>
      <c r="AD6" t="s">
        <v>210</v>
      </c>
      <c r="AE6" t="s">
        <v>218</v>
      </c>
      <c r="AF6" t="s">
        <v>219</v>
      </c>
      <c r="AG6" t="str">
        <f>VLOOKUP(AH6,Target_IES!$A:$A,1,FALSE)</f>
        <v>Hualalai Investors  dba Four Seasons Reso</v>
      </c>
      <c r="AH6" t="s">
        <v>59</v>
      </c>
      <c r="AI6" t="s">
        <v>59</v>
      </c>
      <c r="AJ6" t="b">
        <v>1</v>
      </c>
      <c r="AK6" t="s">
        <v>220</v>
      </c>
      <c r="AL6" t="s">
        <v>182</v>
      </c>
      <c r="AM6" t="s">
        <v>182</v>
      </c>
      <c r="AN6">
        <v>99</v>
      </c>
      <c r="AO6" t="s">
        <v>221</v>
      </c>
      <c r="AP6" t="s">
        <v>215</v>
      </c>
      <c r="AQ6">
        <v>593695</v>
      </c>
      <c r="AR6" t="s">
        <v>216</v>
      </c>
      <c r="AS6" t="s">
        <v>182</v>
      </c>
      <c r="AT6" t="s">
        <v>182</v>
      </c>
      <c r="AU6" t="s">
        <v>182</v>
      </c>
      <c r="AV6" t="s">
        <v>182</v>
      </c>
      <c r="AW6" t="s">
        <v>182</v>
      </c>
      <c r="AX6" t="s">
        <v>182</v>
      </c>
      <c r="AY6">
        <v>35</v>
      </c>
      <c r="AZ6">
        <v>1</v>
      </c>
      <c r="BA6" t="s">
        <v>182</v>
      </c>
      <c r="BB6" t="s">
        <v>182</v>
      </c>
      <c r="BC6" t="s">
        <v>182</v>
      </c>
      <c r="BD6" t="s">
        <v>182</v>
      </c>
      <c r="BE6" t="s">
        <v>182</v>
      </c>
      <c r="BF6" t="s">
        <v>182</v>
      </c>
      <c r="BG6" t="s">
        <v>182</v>
      </c>
      <c r="BH6" t="s">
        <v>182</v>
      </c>
    </row>
    <row r="7" spans="1:60" hidden="1" x14ac:dyDescent="0.3">
      <c r="A7" t="b">
        <v>0</v>
      </c>
      <c r="B7">
        <v>22</v>
      </c>
      <c r="C7" t="s">
        <v>222</v>
      </c>
      <c r="D7" t="s">
        <v>223</v>
      </c>
      <c r="E7" t="s">
        <v>182</v>
      </c>
      <c r="F7" t="s">
        <v>224</v>
      </c>
      <c r="G7" t="s">
        <v>209</v>
      </c>
      <c r="H7">
        <v>96779</v>
      </c>
      <c r="I7">
        <v>22</v>
      </c>
      <c r="J7" t="s">
        <v>222</v>
      </c>
      <c r="K7" t="s">
        <v>223</v>
      </c>
      <c r="L7" t="s">
        <v>182</v>
      </c>
      <c r="M7" t="s">
        <v>224</v>
      </c>
      <c r="N7" t="s">
        <v>209</v>
      </c>
      <c r="O7">
        <v>96779</v>
      </c>
      <c r="P7" t="b">
        <v>1</v>
      </c>
      <c r="Q7" t="b">
        <v>1</v>
      </c>
      <c r="R7">
        <v>0</v>
      </c>
      <c r="S7">
        <v>0</v>
      </c>
      <c r="T7" t="s">
        <v>183</v>
      </c>
      <c r="U7" t="s">
        <v>184</v>
      </c>
      <c r="V7" t="s">
        <v>185</v>
      </c>
      <c r="W7" t="b">
        <v>1</v>
      </c>
      <c r="X7">
        <v>0</v>
      </c>
      <c r="Y7" t="s">
        <v>186</v>
      </c>
      <c r="Z7" t="b">
        <v>0</v>
      </c>
      <c r="AA7">
        <v>30</v>
      </c>
      <c r="AC7">
        <v>3</v>
      </c>
      <c r="AD7" t="s">
        <v>210</v>
      </c>
      <c r="AE7" t="s">
        <v>225</v>
      </c>
      <c r="AF7" t="s">
        <v>226</v>
      </c>
      <c r="AG7" t="str">
        <f>VLOOKUP(AH7,Target_IES!$A:$A,1,FALSE)</f>
        <v>Desilva Meetings Consultants- Groups</v>
      </c>
      <c r="AH7" t="s">
        <v>39</v>
      </c>
      <c r="AI7" t="s">
        <v>39</v>
      </c>
      <c r="AJ7" t="b">
        <v>1</v>
      </c>
      <c r="AK7" t="s">
        <v>227</v>
      </c>
      <c r="AL7">
        <v>8</v>
      </c>
      <c r="AM7" t="s">
        <v>191</v>
      </c>
      <c r="AN7">
        <v>99</v>
      </c>
      <c r="AO7" t="s">
        <v>228</v>
      </c>
      <c r="AP7" t="s">
        <v>182</v>
      </c>
      <c r="AQ7">
        <v>593694</v>
      </c>
      <c r="AR7" t="s">
        <v>182</v>
      </c>
      <c r="AS7" t="s">
        <v>182</v>
      </c>
      <c r="AT7" t="s">
        <v>182</v>
      </c>
      <c r="AU7" t="s">
        <v>182</v>
      </c>
      <c r="AV7" t="s">
        <v>229</v>
      </c>
      <c r="AW7" t="s">
        <v>230</v>
      </c>
      <c r="AX7" t="s">
        <v>182</v>
      </c>
      <c r="AY7">
        <v>29</v>
      </c>
      <c r="AZ7">
        <v>1</v>
      </c>
      <c r="BA7" t="s">
        <v>182</v>
      </c>
      <c r="BB7" t="s">
        <v>182</v>
      </c>
      <c r="BC7" t="s">
        <v>182</v>
      </c>
      <c r="BD7" t="s">
        <v>182</v>
      </c>
      <c r="BE7" t="s">
        <v>182</v>
      </c>
      <c r="BF7" t="s">
        <v>182</v>
      </c>
      <c r="BG7" t="s">
        <v>182</v>
      </c>
      <c r="BH7" t="s">
        <v>182</v>
      </c>
    </row>
    <row r="8" spans="1:60" hidden="1" x14ac:dyDescent="0.3">
      <c r="A8" t="b">
        <v>0</v>
      </c>
      <c r="B8" t="s">
        <v>182</v>
      </c>
      <c r="C8" t="s">
        <v>182</v>
      </c>
      <c r="D8" t="s">
        <v>182</v>
      </c>
      <c r="E8" t="s">
        <v>182</v>
      </c>
      <c r="F8" t="s">
        <v>182</v>
      </c>
      <c r="G8" t="s">
        <v>182</v>
      </c>
      <c r="H8" t="s">
        <v>182</v>
      </c>
      <c r="I8" t="s">
        <v>182</v>
      </c>
      <c r="J8" t="s">
        <v>182</v>
      </c>
      <c r="K8" t="s">
        <v>182</v>
      </c>
      <c r="L8" t="s">
        <v>182</v>
      </c>
      <c r="M8" t="s">
        <v>182</v>
      </c>
      <c r="N8" t="s">
        <v>182</v>
      </c>
      <c r="O8" t="s">
        <v>182</v>
      </c>
      <c r="P8" t="b">
        <v>1</v>
      </c>
      <c r="Q8" t="b">
        <v>1</v>
      </c>
      <c r="R8">
        <v>0</v>
      </c>
      <c r="S8">
        <v>0</v>
      </c>
      <c r="T8" t="s">
        <v>183</v>
      </c>
      <c r="U8" t="s">
        <v>184</v>
      </c>
      <c r="V8" t="s">
        <v>185</v>
      </c>
      <c r="W8" t="b">
        <v>1</v>
      </c>
      <c r="X8">
        <v>0</v>
      </c>
      <c r="Y8" t="s">
        <v>186</v>
      </c>
      <c r="Z8" t="b">
        <v>0</v>
      </c>
      <c r="AA8">
        <v>61</v>
      </c>
      <c r="AC8">
        <v>3</v>
      </c>
      <c r="AD8" t="s">
        <v>231</v>
      </c>
      <c r="AE8" t="s">
        <v>232</v>
      </c>
      <c r="AF8" t="s">
        <v>233</v>
      </c>
      <c r="AG8" t="str">
        <f>VLOOKUP(AH8,Target_IES!$A:$A,1,FALSE)</f>
        <v>Kathy Clarke's Meeting - Groups</v>
      </c>
      <c r="AH8" t="s">
        <v>73</v>
      </c>
      <c r="AI8" t="s">
        <v>73</v>
      </c>
      <c r="AJ8" t="b">
        <v>1</v>
      </c>
      <c r="AK8" t="s">
        <v>234</v>
      </c>
      <c r="AL8">
        <v>8</v>
      </c>
      <c r="AM8" t="s">
        <v>191</v>
      </c>
      <c r="AN8">
        <v>99</v>
      </c>
      <c r="AO8" t="s">
        <v>235</v>
      </c>
      <c r="AP8" t="s">
        <v>182</v>
      </c>
      <c r="AQ8">
        <v>593695</v>
      </c>
      <c r="AR8" t="s">
        <v>182</v>
      </c>
      <c r="AS8" t="s">
        <v>182</v>
      </c>
      <c r="AT8" t="s">
        <v>182</v>
      </c>
      <c r="AU8" t="s">
        <v>182</v>
      </c>
      <c r="AV8" t="s">
        <v>182</v>
      </c>
      <c r="AW8" t="s">
        <v>182</v>
      </c>
      <c r="AX8" t="s">
        <v>182</v>
      </c>
      <c r="AY8">
        <v>60</v>
      </c>
      <c r="AZ8">
        <v>1</v>
      </c>
      <c r="BA8" t="s">
        <v>182</v>
      </c>
      <c r="BB8" t="s">
        <v>182</v>
      </c>
      <c r="BC8" t="s">
        <v>182</v>
      </c>
      <c r="BD8" t="s">
        <v>182</v>
      </c>
      <c r="BE8" t="s">
        <v>182</v>
      </c>
      <c r="BF8" t="s">
        <v>182</v>
      </c>
      <c r="BG8" t="s">
        <v>182</v>
      </c>
      <c r="BH8" t="s">
        <v>182</v>
      </c>
    </row>
    <row r="9" spans="1:60" hidden="1" x14ac:dyDescent="0.3">
      <c r="A9" t="b">
        <v>0</v>
      </c>
      <c r="B9">
        <v>54</v>
      </c>
      <c r="C9" t="s">
        <v>236</v>
      </c>
      <c r="D9" t="s">
        <v>182</v>
      </c>
      <c r="E9" t="s">
        <v>182</v>
      </c>
      <c r="F9" t="s">
        <v>182</v>
      </c>
      <c r="G9" t="s">
        <v>182</v>
      </c>
      <c r="H9" t="s">
        <v>182</v>
      </c>
      <c r="I9">
        <v>54</v>
      </c>
      <c r="J9" t="s">
        <v>236</v>
      </c>
      <c r="K9" t="s">
        <v>182</v>
      </c>
      <c r="L9" t="s">
        <v>182</v>
      </c>
      <c r="M9" t="s">
        <v>182</v>
      </c>
      <c r="N9" t="s">
        <v>182</v>
      </c>
      <c r="O9" t="s">
        <v>182</v>
      </c>
      <c r="P9" t="b">
        <v>1</v>
      </c>
      <c r="Q9" t="b">
        <v>1</v>
      </c>
      <c r="R9">
        <v>0</v>
      </c>
      <c r="S9">
        <v>0</v>
      </c>
      <c r="T9" t="s">
        <v>183</v>
      </c>
      <c r="U9" t="s">
        <v>184</v>
      </c>
      <c r="V9" t="s">
        <v>185</v>
      </c>
      <c r="W9" t="b">
        <v>1</v>
      </c>
      <c r="X9">
        <v>0</v>
      </c>
      <c r="Y9" t="s">
        <v>186</v>
      </c>
      <c r="Z9" t="b">
        <v>0</v>
      </c>
      <c r="AA9">
        <v>97</v>
      </c>
      <c r="AC9">
        <v>3</v>
      </c>
      <c r="AD9" t="s">
        <v>237</v>
      </c>
      <c r="AE9" t="s">
        <v>238</v>
      </c>
      <c r="AF9" t="s">
        <v>239</v>
      </c>
      <c r="AG9" t="str">
        <f>VLOOKUP(AH9,Target_IES!$A:$A,1,FALSE)</f>
        <v>Island Partners Hawaii - FIT</v>
      </c>
      <c r="AH9" t="s">
        <v>65</v>
      </c>
      <c r="AI9" t="s">
        <v>65</v>
      </c>
      <c r="AJ9" t="b">
        <v>1</v>
      </c>
      <c r="AK9" t="s">
        <v>240</v>
      </c>
      <c r="AL9">
        <v>8</v>
      </c>
      <c r="AM9" t="s">
        <v>191</v>
      </c>
      <c r="AN9">
        <v>99</v>
      </c>
      <c r="AO9" t="s">
        <v>241</v>
      </c>
      <c r="AP9" t="s">
        <v>182</v>
      </c>
      <c r="AQ9">
        <v>593695</v>
      </c>
      <c r="AR9" t="s">
        <v>182</v>
      </c>
      <c r="AS9" t="s">
        <v>182</v>
      </c>
      <c r="AT9" t="s">
        <v>182</v>
      </c>
      <c r="AU9" t="s">
        <v>182</v>
      </c>
      <c r="AV9" t="s">
        <v>182</v>
      </c>
      <c r="AW9" t="s">
        <v>182</v>
      </c>
      <c r="AX9" t="s">
        <v>182</v>
      </c>
      <c r="AY9">
        <v>94</v>
      </c>
      <c r="AZ9">
        <v>1</v>
      </c>
      <c r="BA9" t="s">
        <v>182</v>
      </c>
      <c r="BB9" t="s">
        <v>182</v>
      </c>
      <c r="BC9" t="s">
        <v>182</v>
      </c>
      <c r="BD9" t="s">
        <v>182</v>
      </c>
      <c r="BE9" t="s">
        <v>182</v>
      </c>
      <c r="BF9" t="s">
        <v>182</v>
      </c>
      <c r="BG9" t="s">
        <v>182</v>
      </c>
      <c r="BH9" t="s">
        <v>182</v>
      </c>
    </row>
    <row r="10" spans="1:60" hidden="1" x14ac:dyDescent="0.3">
      <c r="A10" t="b">
        <v>0</v>
      </c>
      <c r="B10">
        <v>53</v>
      </c>
      <c r="C10" t="s">
        <v>242</v>
      </c>
      <c r="D10" t="s">
        <v>182</v>
      </c>
      <c r="E10" t="s">
        <v>182</v>
      </c>
      <c r="F10" t="s">
        <v>182</v>
      </c>
      <c r="G10" t="s">
        <v>182</v>
      </c>
      <c r="H10" t="s">
        <v>182</v>
      </c>
      <c r="I10">
        <v>53</v>
      </c>
      <c r="J10" t="s">
        <v>242</v>
      </c>
      <c r="K10" t="s">
        <v>182</v>
      </c>
      <c r="L10" t="s">
        <v>182</v>
      </c>
      <c r="M10" t="s">
        <v>182</v>
      </c>
      <c r="N10" t="s">
        <v>182</v>
      </c>
      <c r="O10" t="s">
        <v>182</v>
      </c>
      <c r="P10" t="b">
        <v>1</v>
      </c>
      <c r="Q10" t="b">
        <v>1</v>
      </c>
      <c r="R10">
        <v>0</v>
      </c>
      <c r="S10">
        <v>0</v>
      </c>
      <c r="T10" t="s">
        <v>183</v>
      </c>
      <c r="U10" t="s">
        <v>184</v>
      </c>
      <c r="V10" t="s">
        <v>185</v>
      </c>
      <c r="W10" t="b">
        <v>1</v>
      </c>
      <c r="X10">
        <v>0</v>
      </c>
      <c r="Y10" t="s">
        <v>186</v>
      </c>
      <c r="Z10" t="b">
        <v>0</v>
      </c>
      <c r="AA10">
        <v>96</v>
      </c>
      <c r="AC10">
        <v>7</v>
      </c>
      <c r="AD10" t="s">
        <v>237</v>
      </c>
      <c r="AE10" t="s">
        <v>243</v>
      </c>
      <c r="AF10" t="s">
        <v>244</v>
      </c>
      <c r="AG10" t="str">
        <f>VLOOKUP(AH10,Target_IES!$A:$A,1,FALSE)</f>
        <v>Groups</v>
      </c>
      <c r="AH10" t="s">
        <v>55</v>
      </c>
      <c r="AI10" t="s">
        <v>55</v>
      </c>
      <c r="AJ10" t="b">
        <v>1</v>
      </c>
      <c r="AK10" t="s">
        <v>245</v>
      </c>
      <c r="AL10">
        <v>8</v>
      </c>
      <c r="AM10" t="s">
        <v>191</v>
      </c>
      <c r="AN10">
        <v>99</v>
      </c>
      <c r="AO10" t="s">
        <v>199</v>
      </c>
      <c r="AP10" t="s">
        <v>182</v>
      </c>
      <c r="AQ10" t="s">
        <v>182</v>
      </c>
      <c r="AR10" t="s">
        <v>182</v>
      </c>
      <c r="AS10" t="s">
        <v>182</v>
      </c>
      <c r="AT10" t="s">
        <v>182</v>
      </c>
      <c r="AU10" t="s">
        <v>182</v>
      </c>
      <c r="AV10" t="s">
        <v>182</v>
      </c>
      <c r="AW10" t="s">
        <v>182</v>
      </c>
      <c r="AX10" t="s">
        <v>182</v>
      </c>
      <c r="AY10">
        <v>94</v>
      </c>
      <c r="AZ10">
        <v>1</v>
      </c>
      <c r="BA10" t="s">
        <v>182</v>
      </c>
      <c r="BB10" t="s">
        <v>182</v>
      </c>
      <c r="BC10" t="s">
        <v>182</v>
      </c>
      <c r="BD10" t="s">
        <v>182</v>
      </c>
      <c r="BE10" t="s">
        <v>182</v>
      </c>
      <c r="BF10" t="s">
        <v>182</v>
      </c>
      <c r="BG10" t="s">
        <v>182</v>
      </c>
      <c r="BH10" t="s">
        <v>182</v>
      </c>
    </row>
    <row r="11" spans="1:60" hidden="1" x14ac:dyDescent="0.3">
      <c r="A11" t="b">
        <v>0</v>
      </c>
      <c r="B11" t="s">
        <v>182</v>
      </c>
      <c r="C11" t="s">
        <v>182</v>
      </c>
      <c r="D11" t="s">
        <v>182</v>
      </c>
      <c r="E11" t="s">
        <v>182</v>
      </c>
      <c r="F11" t="s">
        <v>182</v>
      </c>
      <c r="G11" t="s">
        <v>182</v>
      </c>
      <c r="H11" t="s">
        <v>182</v>
      </c>
      <c r="I11" t="s">
        <v>182</v>
      </c>
      <c r="J11" t="s">
        <v>182</v>
      </c>
      <c r="K11" t="s">
        <v>182</v>
      </c>
      <c r="L11" t="s">
        <v>182</v>
      </c>
      <c r="M11" t="s">
        <v>182</v>
      </c>
      <c r="N11" t="s">
        <v>182</v>
      </c>
      <c r="O11" t="s">
        <v>182</v>
      </c>
      <c r="P11" t="b">
        <v>1</v>
      </c>
      <c r="Q11" t="b">
        <v>1</v>
      </c>
      <c r="R11">
        <v>0</v>
      </c>
      <c r="S11">
        <v>0</v>
      </c>
      <c r="T11" t="s">
        <v>183</v>
      </c>
      <c r="U11" t="s">
        <v>184</v>
      </c>
      <c r="V11" t="s">
        <v>185</v>
      </c>
      <c r="W11" t="b">
        <v>1</v>
      </c>
      <c r="X11">
        <v>0</v>
      </c>
      <c r="Y11" t="s">
        <v>186</v>
      </c>
      <c r="Z11" t="b">
        <v>0</v>
      </c>
      <c r="AA11">
        <v>95</v>
      </c>
      <c r="AC11">
        <v>5</v>
      </c>
      <c r="AD11" t="s">
        <v>237</v>
      </c>
      <c r="AE11" t="s">
        <v>246</v>
      </c>
      <c r="AF11" t="s">
        <v>247</v>
      </c>
      <c r="AG11" t="str">
        <f>VLOOKUP(AH11,Target_IES!$A:$A,1,FALSE)</f>
        <v>FIT</v>
      </c>
      <c r="AH11" t="s">
        <v>46</v>
      </c>
      <c r="AI11" t="s">
        <v>46</v>
      </c>
      <c r="AJ11" t="b">
        <v>1</v>
      </c>
      <c r="AK11" t="s">
        <v>248</v>
      </c>
      <c r="AL11">
        <v>8</v>
      </c>
      <c r="AM11" t="s">
        <v>191</v>
      </c>
      <c r="AN11">
        <v>99</v>
      </c>
      <c r="AO11" t="s">
        <v>199</v>
      </c>
      <c r="AP11" t="s">
        <v>182</v>
      </c>
      <c r="AQ11" t="s">
        <v>182</v>
      </c>
      <c r="AR11" t="s">
        <v>182</v>
      </c>
      <c r="AS11" t="s">
        <v>182</v>
      </c>
      <c r="AT11" t="s">
        <v>182</v>
      </c>
      <c r="AU11" t="s">
        <v>182</v>
      </c>
      <c r="AV11" t="s">
        <v>182</v>
      </c>
      <c r="AW11" t="s">
        <v>182</v>
      </c>
      <c r="AX11" t="s">
        <v>182</v>
      </c>
      <c r="AY11">
        <v>94</v>
      </c>
      <c r="AZ11">
        <v>1</v>
      </c>
      <c r="BA11" t="s">
        <v>182</v>
      </c>
      <c r="BB11" t="s">
        <v>182</v>
      </c>
      <c r="BC11" t="s">
        <v>182</v>
      </c>
      <c r="BD11" t="s">
        <v>182</v>
      </c>
      <c r="BE11" t="s">
        <v>182</v>
      </c>
      <c r="BF11" t="s">
        <v>182</v>
      </c>
      <c r="BG11" t="s">
        <v>182</v>
      </c>
      <c r="BH11" t="s">
        <v>182</v>
      </c>
    </row>
    <row r="12" spans="1:60" hidden="1" x14ac:dyDescent="0.3">
      <c r="A12" t="b">
        <v>0</v>
      </c>
      <c r="B12" t="s">
        <v>182</v>
      </c>
      <c r="C12" t="s">
        <v>182</v>
      </c>
      <c r="D12" t="s">
        <v>182</v>
      </c>
      <c r="E12" t="s">
        <v>182</v>
      </c>
      <c r="F12" t="s">
        <v>182</v>
      </c>
      <c r="G12" t="s">
        <v>182</v>
      </c>
      <c r="H12" t="s">
        <v>182</v>
      </c>
      <c r="I12" t="s">
        <v>182</v>
      </c>
      <c r="J12" t="s">
        <v>182</v>
      </c>
      <c r="K12" t="s">
        <v>182</v>
      </c>
      <c r="L12" t="s">
        <v>182</v>
      </c>
      <c r="M12" t="s">
        <v>182</v>
      </c>
      <c r="N12" t="s">
        <v>182</v>
      </c>
      <c r="O12" t="s">
        <v>182</v>
      </c>
      <c r="P12" t="b">
        <v>1</v>
      </c>
      <c r="Q12" t="b">
        <v>1</v>
      </c>
      <c r="R12">
        <v>0</v>
      </c>
      <c r="S12">
        <v>0</v>
      </c>
      <c r="T12" t="s">
        <v>183</v>
      </c>
      <c r="U12" t="s">
        <v>184</v>
      </c>
      <c r="V12" t="s">
        <v>185</v>
      </c>
      <c r="W12" t="b">
        <v>1</v>
      </c>
      <c r="X12">
        <v>0</v>
      </c>
      <c r="Y12" t="s">
        <v>186</v>
      </c>
      <c r="Z12" t="b">
        <v>0</v>
      </c>
      <c r="AA12">
        <v>109</v>
      </c>
      <c r="AC12">
        <v>3</v>
      </c>
      <c r="AD12" t="s">
        <v>249</v>
      </c>
      <c r="AE12" t="s">
        <v>250</v>
      </c>
      <c r="AF12" t="s">
        <v>251</v>
      </c>
      <c r="AG12" t="str">
        <f>VLOOKUP(AH12,Target_IES!$A:$A,1,FALSE)</f>
        <v>Paradise Helicopters - Groups</v>
      </c>
      <c r="AH12" t="s">
        <v>95</v>
      </c>
      <c r="AI12" t="s">
        <v>95</v>
      </c>
      <c r="AJ12" t="b">
        <v>1</v>
      </c>
      <c r="AK12" t="s">
        <v>252</v>
      </c>
      <c r="AL12">
        <v>8</v>
      </c>
      <c r="AM12" t="s">
        <v>191</v>
      </c>
      <c r="AN12">
        <v>99</v>
      </c>
      <c r="AO12" t="s">
        <v>182</v>
      </c>
      <c r="AP12" t="s">
        <v>182</v>
      </c>
      <c r="AQ12">
        <v>593695</v>
      </c>
      <c r="AR12" t="s">
        <v>182</v>
      </c>
      <c r="AS12" t="s">
        <v>182</v>
      </c>
      <c r="AT12" t="s">
        <v>182</v>
      </c>
      <c r="AU12" t="s">
        <v>253</v>
      </c>
      <c r="AV12" t="s">
        <v>182</v>
      </c>
      <c r="AW12" t="s">
        <v>182</v>
      </c>
      <c r="AX12" t="s">
        <v>182</v>
      </c>
      <c r="AY12">
        <v>107</v>
      </c>
      <c r="AZ12">
        <v>1</v>
      </c>
      <c r="BA12" t="s">
        <v>182</v>
      </c>
      <c r="BB12" t="s">
        <v>182</v>
      </c>
      <c r="BC12" t="s">
        <v>182</v>
      </c>
      <c r="BD12" t="s">
        <v>182</v>
      </c>
      <c r="BE12" t="s">
        <v>182</v>
      </c>
      <c r="BF12" t="s">
        <v>182</v>
      </c>
      <c r="BG12" t="s">
        <v>182</v>
      </c>
      <c r="BH12" t="s">
        <v>182</v>
      </c>
    </row>
    <row r="13" spans="1:60" hidden="1" x14ac:dyDescent="0.3">
      <c r="A13" t="b">
        <v>0</v>
      </c>
      <c r="B13">
        <v>60</v>
      </c>
      <c r="C13" t="s">
        <v>254</v>
      </c>
      <c r="D13" t="s">
        <v>182</v>
      </c>
      <c r="E13" t="s">
        <v>182</v>
      </c>
      <c r="F13" t="s">
        <v>255</v>
      </c>
      <c r="G13" t="s">
        <v>209</v>
      </c>
      <c r="H13">
        <v>96745</v>
      </c>
      <c r="I13">
        <v>60</v>
      </c>
      <c r="J13" t="s">
        <v>254</v>
      </c>
      <c r="K13" t="s">
        <v>182</v>
      </c>
      <c r="L13" t="s">
        <v>182</v>
      </c>
      <c r="M13" t="s">
        <v>255</v>
      </c>
      <c r="N13" t="s">
        <v>209</v>
      </c>
      <c r="O13">
        <v>96745</v>
      </c>
      <c r="P13" t="b">
        <v>1</v>
      </c>
      <c r="Q13" t="b">
        <v>1</v>
      </c>
      <c r="R13">
        <v>0</v>
      </c>
      <c r="S13">
        <v>0</v>
      </c>
      <c r="T13" t="s">
        <v>183</v>
      </c>
      <c r="U13" t="s">
        <v>184</v>
      </c>
      <c r="V13" t="s">
        <v>185</v>
      </c>
      <c r="W13" t="b">
        <v>1</v>
      </c>
      <c r="X13">
        <v>0</v>
      </c>
      <c r="Y13" t="s">
        <v>186</v>
      </c>
      <c r="Z13" t="b">
        <v>0</v>
      </c>
      <c r="AA13">
        <v>108</v>
      </c>
      <c r="AC13">
        <v>3</v>
      </c>
      <c r="AD13" t="s">
        <v>249</v>
      </c>
      <c r="AE13" t="s">
        <v>256</v>
      </c>
      <c r="AF13" t="s">
        <v>257</v>
      </c>
      <c r="AG13" t="str">
        <f>VLOOKUP(AH13,Target_IES!$A:$A,1,FALSE)</f>
        <v>Paradise Helicopters - Agency</v>
      </c>
      <c r="AH13" t="s">
        <v>91</v>
      </c>
      <c r="AI13" t="s">
        <v>91</v>
      </c>
      <c r="AJ13" t="b">
        <v>1</v>
      </c>
      <c r="AK13" t="s">
        <v>258</v>
      </c>
      <c r="AL13">
        <v>8</v>
      </c>
      <c r="AM13" t="s">
        <v>191</v>
      </c>
      <c r="AN13">
        <v>99</v>
      </c>
      <c r="AO13" t="s">
        <v>259</v>
      </c>
      <c r="AP13" t="s">
        <v>182</v>
      </c>
      <c r="AQ13">
        <v>593695</v>
      </c>
      <c r="AR13" t="s">
        <v>182</v>
      </c>
      <c r="AS13" t="s">
        <v>182</v>
      </c>
      <c r="AT13" t="s">
        <v>182</v>
      </c>
      <c r="AU13" t="s">
        <v>91</v>
      </c>
      <c r="AV13" t="s">
        <v>260</v>
      </c>
      <c r="AW13" t="s">
        <v>182</v>
      </c>
      <c r="AX13" t="s">
        <v>182</v>
      </c>
      <c r="AY13">
        <v>107</v>
      </c>
      <c r="AZ13">
        <v>1</v>
      </c>
      <c r="BA13" t="s">
        <v>182</v>
      </c>
      <c r="BB13" t="s">
        <v>182</v>
      </c>
      <c r="BC13" t="s">
        <v>182</v>
      </c>
      <c r="BD13" t="s">
        <v>182</v>
      </c>
      <c r="BE13" t="s">
        <v>182</v>
      </c>
      <c r="BF13" t="s">
        <v>182</v>
      </c>
      <c r="BG13" t="s">
        <v>182</v>
      </c>
      <c r="BH13" t="s">
        <v>182</v>
      </c>
    </row>
    <row r="14" spans="1:60" hidden="1" x14ac:dyDescent="0.3">
      <c r="A14" t="b">
        <v>0</v>
      </c>
      <c r="B14">
        <v>79</v>
      </c>
      <c r="C14" t="s">
        <v>261</v>
      </c>
      <c r="D14" t="s">
        <v>262</v>
      </c>
      <c r="E14" t="s">
        <v>263</v>
      </c>
      <c r="F14" t="s">
        <v>264</v>
      </c>
      <c r="G14" t="s">
        <v>265</v>
      </c>
      <c r="H14">
        <v>94538</v>
      </c>
      <c r="I14">
        <v>79</v>
      </c>
      <c r="J14" t="s">
        <v>261</v>
      </c>
      <c r="K14" t="s">
        <v>262</v>
      </c>
      <c r="L14" t="s">
        <v>263</v>
      </c>
      <c r="M14" t="s">
        <v>264</v>
      </c>
      <c r="N14" t="s">
        <v>265</v>
      </c>
      <c r="O14">
        <v>94538</v>
      </c>
      <c r="P14" t="b">
        <v>1</v>
      </c>
      <c r="Q14" t="b">
        <v>1</v>
      </c>
      <c r="R14">
        <v>0</v>
      </c>
      <c r="S14">
        <v>0</v>
      </c>
      <c r="T14" t="s">
        <v>183</v>
      </c>
      <c r="U14" t="s">
        <v>184</v>
      </c>
      <c r="V14" t="s">
        <v>185</v>
      </c>
      <c r="W14" t="b">
        <v>1</v>
      </c>
      <c r="X14">
        <v>0</v>
      </c>
      <c r="Y14" t="s">
        <v>186</v>
      </c>
      <c r="Z14" t="b">
        <v>0</v>
      </c>
      <c r="AA14">
        <v>138</v>
      </c>
      <c r="AC14">
        <v>3</v>
      </c>
      <c r="AD14" t="s">
        <v>266</v>
      </c>
      <c r="AE14" t="s">
        <v>267</v>
      </c>
      <c r="AF14" t="s">
        <v>268</v>
      </c>
      <c r="AG14" t="str">
        <f>VLOOKUP(AH14,Target_IES!$A:$A,1,FALSE)</f>
        <v>Rockit Events</v>
      </c>
      <c r="AH14" t="s">
        <v>105</v>
      </c>
      <c r="AI14" t="s">
        <v>105</v>
      </c>
      <c r="AJ14" t="b">
        <v>1</v>
      </c>
      <c r="AK14" t="s">
        <v>269</v>
      </c>
      <c r="AL14" t="s">
        <v>182</v>
      </c>
      <c r="AM14" t="s">
        <v>182</v>
      </c>
      <c r="AN14">
        <v>99</v>
      </c>
      <c r="AO14" t="s">
        <v>182</v>
      </c>
      <c r="AP14" t="s">
        <v>182</v>
      </c>
      <c r="AQ14">
        <v>593697</v>
      </c>
      <c r="AR14" t="s">
        <v>182</v>
      </c>
      <c r="AS14" t="s">
        <v>182</v>
      </c>
      <c r="AT14" t="s">
        <v>182</v>
      </c>
      <c r="AU14" t="s">
        <v>182</v>
      </c>
      <c r="AV14" t="s">
        <v>182</v>
      </c>
      <c r="AW14" t="s">
        <v>182</v>
      </c>
      <c r="AX14" t="s">
        <v>182</v>
      </c>
      <c r="AY14">
        <v>131</v>
      </c>
      <c r="AZ14">
        <v>1</v>
      </c>
      <c r="BA14" t="s">
        <v>182</v>
      </c>
      <c r="BB14" t="s">
        <v>182</v>
      </c>
      <c r="BC14" t="s">
        <v>182</v>
      </c>
      <c r="BD14" t="s">
        <v>182</v>
      </c>
      <c r="BE14" t="s">
        <v>182</v>
      </c>
      <c r="BF14" t="s">
        <v>182</v>
      </c>
      <c r="BG14" t="s">
        <v>182</v>
      </c>
      <c r="BH14" t="s">
        <v>182</v>
      </c>
    </row>
    <row r="15" spans="1:60" hidden="1" x14ac:dyDescent="0.3">
      <c r="A15" t="b">
        <v>0</v>
      </c>
      <c r="B15" t="s">
        <v>182</v>
      </c>
      <c r="C15" t="s">
        <v>182</v>
      </c>
      <c r="D15" t="s">
        <v>182</v>
      </c>
      <c r="E15" t="s">
        <v>182</v>
      </c>
      <c r="F15" t="s">
        <v>182</v>
      </c>
      <c r="G15" t="s">
        <v>182</v>
      </c>
      <c r="H15" t="s">
        <v>182</v>
      </c>
      <c r="I15" t="s">
        <v>182</v>
      </c>
      <c r="J15" t="s">
        <v>182</v>
      </c>
      <c r="K15" t="s">
        <v>182</v>
      </c>
      <c r="L15" t="s">
        <v>182</v>
      </c>
      <c r="M15" t="s">
        <v>182</v>
      </c>
      <c r="N15" t="s">
        <v>182</v>
      </c>
      <c r="O15" t="s">
        <v>182</v>
      </c>
      <c r="P15" t="b">
        <v>1</v>
      </c>
      <c r="Q15" t="b">
        <v>1</v>
      </c>
      <c r="R15">
        <v>0</v>
      </c>
      <c r="S15">
        <v>0</v>
      </c>
      <c r="T15" t="s">
        <v>183</v>
      </c>
      <c r="U15" t="s">
        <v>184</v>
      </c>
      <c r="V15" t="s">
        <v>185</v>
      </c>
      <c r="W15" t="b">
        <v>1</v>
      </c>
      <c r="X15">
        <v>0</v>
      </c>
      <c r="Y15" t="s">
        <v>186</v>
      </c>
      <c r="Z15" t="b">
        <v>0</v>
      </c>
      <c r="AA15">
        <v>137</v>
      </c>
      <c r="AC15">
        <v>5</v>
      </c>
      <c r="AD15" t="s">
        <v>266</v>
      </c>
      <c r="AE15" t="s">
        <v>270</v>
      </c>
      <c r="AF15" t="s">
        <v>271</v>
      </c>
      <c r="AG15" t="str">
        <f>VLOOKUP(AH15,Target_IES!$A:$A,1,FALSE)</f>
        <v>DoTerra</v>
      </c>
      <c r="AH15" t="s">
        <v>41</v>
      </c>
      <c r="AI15" t="s">
        <v>41</v>
      </c>
      <c r="AJ15" t="b">
        <v>1</v>
      </c>
      <c r="AK15" t="s">
        <v>272</v>
      </c>
      <c r="AL15" t="s">
        <v>182</v>
      </c>
      <c r="AM15" t="s">
        <v>182</v>
      </c>
      <c r="AN15">
        <v>99</v>
      </c>
      <c r="AO15" t="s">
        <v>273</v>
      </c>
      <c r="AP15" t="s">
        <v>182</v>
      </c>
      <c r="AQ15">
        <v>593697</v>
      </c>
      <c r="AR15" t="s">
        <v>182</v>
      </c>
      <c r="AS15" t="s">
        <v>182</v>
      </c>
      <c r="AT15" t="s">
        <v>182</v>
      </c>
      <c r="AU15" t="s">
        <v>182</v>
      </c>
      <c r="AV15" t="s">
        <v>182</v>
      </c>
      <c r="AW15" t="s">
        <v>182</v>
      </c>
      <c r="AX15" t="s">
        <v>182</v>
      </c>
      <c r="AY15">
        <v>131</v>
      </c>
      <c r="AZ15">
        <v>1</v>
      </c>
      <c r="BA15" t="s">
        <v>182</v>
      </c>
      <c r="BB15" t="s">
        <v>182</v>
      </c>
      <c r="BC15" t="s">
        <v>182</v>
      </c>
      <c r="BD15" t="s">
        <v>182</v>
      </c>
      <c r="BE15" t="s">
        <v>182</v>
      </c>
      <c r="BF15" t="s">
        <v>182</v>
      </c>
      <c r="BG15" t="s">
        <v>182</v>
      </c>
      <c r="BH15" t="s">
        <v>182</v>
      </c>
    </row>
    <row r="16" spans="1:60" hidden="1" x14ac:dyDescent="0.3">
      <c r="A16" t="b">
        <v>0</v>
      </c>
      <c r="B16" t="s">
        <v>182</v>
      </c>
      <c r="C16" t="s">
        <v>182</v>
      </c>
      <c r="D16" t="s">
        <v>182</v>
      </c>
      <c r="E16" t="s">
        <v>182</v>
      </c>
      <c r="F16" t="s">
        <v>182</v>
      </c>
      <c r="G16" t="s">
        <v>182</v>
      </c>
      <c r="H16" t="s">
        <v>182</v>
      </c>
      <c r="I16" t="s">
        <v>182</v>
      </c>
      <c r="J16" t="s">
        <v>182</v>
      </c>
      <c r="K16" t="s">
        <v>182</v>
      </c>
      <c r="L16" t="s">
        <v>182</v>
      </c>
      <c r="M16" t="s">
        <v>182</v>
      </c>
      <c r="N16" t="s">
        <v>182</v>
      </c>
      <c r="O16" t="s">
        <v>182</v>
      </c>
      <c r="P16" t="b">
        <v>1</v>
      </c>
      <c r="Q16" t="b">
        <v>1</v>
      </c>
      <c r="R16">
        <v>0</v>
      </c>
      <c r="S16">
        <v>0</v>
      </c>
      <c r="T16" t="s">
        <v>183</v>
      </c>
      <c r="U16" t="s">
        <v>184</v>
      </c>
      <c r="V16" t="s">
        <v>185</v>
      </c>
      <c r="W16" t="b">
        <v>1</v>
      </c>
      <c r="X16">
        <v>0</v>
      </c>
      <c r="Y16" t="s">
        <v>186</v>
      </c>
      <c r="Z16" t="b">
        <v>0</v>
      </c>
      <c r="AA16">
        <v>135</v>
      </c>
      <c r="AC16">
        <v>3</v>
      </c>
      <c r="AD16" t="s">
        <v>266</v>
      </c>
      <c r="AE16" t="s">
        <v>274</v>
      </c>
      <c r="AF16" t="s">
        <v>275</v>
      </c>
      <c r="AG16" t="str">
        <f>VLOOKUP(AH16,Target_IES!$A:$A,1,FALSE)</f>
        <v>Affiliate 20%</v>
      </c>
      <c r="AH16" t="s">
        <v>9</v>
      </c>
      <c r="AI16" t="s">
        <v>9</v>
      </c>
      <c r="AJ16" t="b">
        <v>1</v>
      </c>
      <c r="AK16" t="s">
        <v>276</v>
      </c>
      <c r="AL16" t="s">
        <v>182</v>
      </c>
      <c r="AM16" t="s">
        <v>182</v>
      </c>
      <c r="AN16">
        <v>99</v>
      </c>
      <c r="AO16" t="s">
        <v>273</v>
      </c>
      <c r="AP16" t="s">
        <v>182</v>
      </c>
      <c r="AQ16">
        <v>593697</v>
      </c>
      <c r="AR16" t="s">
        <v>182</v>
      </c>
      <c r="AS16" t="s">
        <v>182</v>
      </c>
      <c r="AT16" t="s">
        <v>182</v>
      </c>
      <c r="AU16" t="s">
        <v>182</v>
      </c>
      <c r="AV16" t="s">
        <v>182</v>
      </c>
      <c r="AW16" t="s">
        <v>182</v>
      </c>
      <c r="AX16" t="s">
        <v>182</v>
      </c>
      <c r="AY16">
        <v>131</v>
      </c>
      <c r="AZ16">
        <v>1</v>
      </c>
      <c r="BA16" t="s">
        <v>182</v>
      </c>
      <c r="BB16" t="s">
        <v>182</v>
      </c>
      <c r="BC16" t="s">
        <v>182</v>
      </c>
      <c r="BD16" t="s">
        <v>182</v>
      </c>
      <c r="BE16" t="s">
        <v>182</v>
      </c>
      <c r="BF16" t="s">
        <v>182</v>
      </c>
      <c r="BG16" t="s">
        <v>182</v>
      </c>
      <c r="BH16" t="s">
        <v>182</v>
      </c>
    </row>
    <row r="17" spans="1:60" hidden="1" x14ac:dyDescent="0.3">
      <c r="A17" t="b">
        <v>0</v>
      </c>
      <c r="B17">
        <v>76</v>
      </c>
      <c r="C17" t="s">
        <v>277</v>
      </c>
      <c r="D17" t="s">
        <v>278</v>
      </c>
      <c r="E17" t="s">
        <v>182</v>
      </c>
      <c r="F17" t="s">
        <v>279</v>
      </c>
      <c r="G17" t="s">
        <v>280</v>
      </c>
      <c r="H17">
        <v>78746</v>
      </c>
      <c r="I17">
        <v>76</v>
      </c>
      <c r="J17" t="s">
        <v>277</v>
      </c>
      <c r="K17" t="s">
        <v>278</v>
      </c>
      <c r="L17" t="s">
        <v>182</v>
      </c>
      <c r="M17" t="s">
        <v>279</v>
      </c>
      <c r="N17" t="s">
        <v>280</v>
      </c>
      <c r="O17">
        <v>78746</v>
      </c>
      <c r="P17" t="b">
        <v>1</v>
      </c>
      <c r="Q17" t="b">
        <v>1</v>
      </c>
      <c r="R17">
        <v>0</v>
      </c>
      <c r="S17">
        <v>0</v>
      </c>
      <c r="T17" t="s">
        <v>183</v>
      </c>
      <c r="U17" t="s">
        <v>184</v>
      </c>
      <c r="V17" t="s">
        <v>185</v>
      </c>
      <c r="W17" t="b">
        <v>1</v>
      </c>
      <c r="X17">
        <v>0</v>
      </c>
      <c r="Y17" t="s">
        <v>186</v>
      </c>
      <c r="Z17" t="b">
        <v>0</v>
      </c>
      <c r="AA17">
        <v>132</v>
      </c>
      <c r="AC17">
        <v>10</v>
      </c>
      <c r="AD17" t="s">
        <v>266</v>
      </c>
      <c r="AE17" t="s">
        <v>281</v>
      </c>
      <c r="AF17" t="s">
        <v>282</v>
      </c>
      <c r="AG17" t="str">
        <f>VLOOKUP(AH17,Target_IES!$A:$A,1,FALSE)</f>
        <v>Victor Emanuel Nature Tours</v>
      </c>
      <c r="AH17" t="s">
        <v>122</v>
      </c>
      <c r="AI17" t="s">
        <v>122</v>
      </c>
      <c r="AJ17" t="b">
        <v>1</v>
      </c>
      <c r="AK17" t="s">
        <v>283</v>
      </c>
      <c r="AL17" t="s">
        <v>182</v>
      </c>
      <c r="AM17" t="s">
        <v>182</v>
      </c>
      <c r="AN17">
        <v>99</v>
      </c>
      <c r="AO17" t="s">
        <v>284</v>
      </c>
      <c r="AP17" t="s">
        <v>182</v>
      </c>
      <c r="AQ17">
        <v>593697</v>
      </c>
      <c r="AR17" t="s">
        <v>182</v>
      </c>
      <c r="AS17" t="s">
        <v>182</v>
      </c>
      <c r="AT17" t="s">
        <v>182</v>
      </c>
      <c r="AU17" t="s">
        <v>182</v>
      </c>
      <c r="AV17" t="s">
        <v>182</v>
      </c>
      <c r="AW17" t="s">
        <v>182</v>
      </c>
      <c r="AX17" t="s">
        <v>182</v>
      </c>
      <c r="AY17">
        <v>131</v>
      </c>
      <c r="AZ17">
        <v>1</v>
      </c>
      <c r="BA17" t="s">
        <v>182</v>
      </c>
      <c r="BB17" t="s">
        <v>182</v>
      </c>
      <c r="BC17" t="s">
        <v>182</v>
      </c>
      <c r="BD17" t="s">
        <v>182</v>
      </c>
      <c r="BE17" t="s">
        <v>182</v>
      </c>
      <c r="BF17" t="s">
        <v>182</v>
      </c>
      <c r="BG17" t="s">
        <v>182</v>
      </c>
      <c r="BH17" t="s">
        <v>182</v>
      </c>
    </row>
    <row r="18" spans="1:60" hidden="1" x14ac:dyDescent="0.3">
      <c r="A18" t="b">
        <v>0</v>
      </c>
      <c r="B18" t="s">
        <v>182</v>
      </c>
      <c r="C18" t="s">
        <v>182</v>
      </c>
      <c r="D18" t="s">
        <v>182</v>
      </c>
      <c r="E18" t="s">
        <v>182</v>
      </c>
      <c r="F18" t="s">
        <v>182</v>
      </c>
      <c r="G18" t="s">
        <v>182</v>
      </c>
      <c r="H18" t="s">
        <v>182</v>
      </c>
      <c r="I18" t="s">
        <v>182</v>
      </c>
      <c r="J18" t="s">
        <v>182</v>
      </c>
      <c r="K18" t="s">
        <v>182</v>
      </c>
      <c r="L18" t="s">
        <v>182</v>
      </c>
      <c r="M18" t="s">
        <v>182</v>
      </c>
      <c r="N18" t="s">
        <v>182</v>
      </c>
      <c r="O18" t="s">
        <v>182</v>
      </c>
      <c r="P18" t="b">
        <v>1</v>
      </c>
      <c r="Q18" t="b">
        <v>1</v>
      </c>
      <c r="R18">
        <v>0</v>
      </c>
      <c r="S18">
        <v>0</v>
      </c>
      <c r="T18" t="s">
        <v>183</v>
      </c>
      <c r="U18" t="s">
        <v>184</v>
      </c>
      <c r="V18" t="s">
        <v>185</v>
      </c>
      <c r="W18" t="b">
        <v>1</v>
      </c>
      <c r="X18">
        <v>0</v>
      </c>
      <c r="Y18" t="s">
        <v>186</v>
      </c>
      <c r="Z18" t="b">
        <v>0</v>
      </c>
      <c r="AA18">
        <v>141</v>
      </c>
      <c r="AC18">
        <v>3</v>
      </c>
      <c r="AD18" t="s">
        <v>285</v>
      </c>
      <c r="AE18" t="s">
        <v>286</v>
      </c>
      <c r="AF18" t="s">
        <v>287</v>
      </c>
      <c r="AG18" t="str">
        <f>VLOOKUP(AH18,Target_IES!$A:$A,1,FALSE)</f>
        <v>Frosch Travel</v>
      </c>
      <c r="AH18" t="s">
        <v>49</v>
      </c>
      <c r="AI18" t="s">
        <v>49</v>
      </c>
      <c r="AJ18" t="b">
        <v>1</v>
      </c>
      <c r="AK18" t="s">
        <v>288</v>
      </c>
      <c r="AL18" t="s">
        <v>182</v>
      </c>
      <c r="AM18" t="s">
        <v>182</v>
      </c>
      <c r="AN18">
        <v>99</v>
      </c>
      <c r="AO18" t="s">
        <v>182</v>
      </c>
      <c r="AP18" t="s">
        <v>182</v>
      </c>
      <c r="AQ18">
        <v>593697</v>
      </c>
      <c r="AR18" t="s">
        <v>182</v>
      </c>
      <c r="AS18" t="s">
        <v>182</v>
      </c>
      <c r="AT18" t="s">
        <v>182</v>
      </c>
      <c r="AU18" t="s">
        <v>182</v>
      </c>
      <c r="AV18" t="s">
        <v>182</v>
      </c>
      <c r="AW18" t="s">
        <v>182</v>
      </c>
      <c r="AX18" t="s">
        <v>182</v>
      </c>
      <c r="AY18">
        <v>131</v>
      </c>
      <c r="AZ18">
        <v>1</v>
      </c>
      <c r="BA18" t="s">
        <v>182</v>
      </c>
      <c r="BB18" t="s">
        <v>182</v>
      </c>
      <c r="BC18" t="s">
        <v>182</v>
      </c>
      <c r="BD18" t="s">
        <v>182</v>
      </c>
      <c r="BE18" t="s">
        <v>182</v>
      </c>
      <c r="BF18" t="s">
        <v>182</v>
      </c>
      <c r="BG18" t="s">
        <v>182</v>
      </c>
      <c r="BH18" t="s">
        <v>182</v>
      </c>
    </row>
    <row r="19" spans="1:60" hidden="1" x14ac:dyDescent="0.3">
      <c r="A19" t="b">
        <v>0</v>
      </c>
      <c r="B19" t="s">
        <v>182</v>
      </c>
      <c r="C19" t="s">
        <v>182</v>
      </c>
      <c r="D19" t="s">
        <v>182</v>
      </c>
      <c r="E19" t="s">
        <v>182</v>
      </c>
      <c r="F19" t="s">
        <v>182</v>
      </c>
      <c r="G19" t="s">
        <v>182</v>
      </c>
      <c r="H19" t="s">
        <v>182</v>
      </c>
      <c r="I19" t="s">
        <v>182</v>
      </c>
      <c r="J19" t="s">
        <v>182</v>
      </c>
      <c r="K19" t="s">
        <v>182</v>
      </c>
      <c r="L19" t="s">
        <v>182</v>
      </c>
      <c r="M19" t="s">
        <v>182</v>
      </c>
      <c r="N19" t="s">
        <v>182</v>
      </c>
      <c r="O19" t="s">
        <v>182</v>
      </c>
      <c r="P19" t="b">
        <v>1</v>
      </c>
      <c r="Q19" t="b">
        <v>1</v>
      </c>
      <c r="R19">
        <v>0</v>
      </c>
      <c r="S19">
        <v>0</v>
      </c>
      <c r="T19" t="s">
        <v>183</v>
      </c>
      <c r="U19" t="s">
        <v>184</v>
      </c>
      <c r="V19" t="s">
        <v>185</v>
      </c>
      <c r="W19" t="b">
        <v>1</v>
      </c>
      <c r="X19">
        <v>0</v>
      </c>
      <c r="Y19" t="s">
        <v>186</v>
      </c>
      <c r="Z19" t="b">
        <v>0</v>
      </c>
      <c r="AA19">
        <v>140</v>
      </c>
      <c r="AC19">
        <v>3</v>
      </c>
      <c r="AD19" t="s">
        <v>285</v>
      </c>
      <c r="AE19" t="s">
        <v>289</v>
      </c>
      <c r="AF19" t="s">
        <v>290</v>
      </c>
      <c r="AG19" t="str">
        <f>VLOOKUP(AH19,Target_IES!$A:$A,1,FALSE)</f>
        <v>Going Places Travel</v>
      </c>
      <c r="AH19" t="s">
        <v>53</v>
      </c>
      <c r="AI19" t="s">
        <v>53</v>
      </c>
      <c r="AJ19" t="b">
        <v>1</v>
      </c>
      <c r="AK19" t="s">
        <v>291</v>
      </c>
      <c r="AL19" t="s">
        <v>182</v>
      </c>
      <c r="AM19" t="s">
        <v>182</v>
      </c>
      <c r="AN19">
        <v>99</v>
      </c>
      <c r="AO19" t="s">
        <v>182</v>
      </c>
      <c r="AP19" t="s">
        <v>182</v>
      </c>
      <c r="AQ19">
        <v>593697</v>
      </c>
      <c r="AR19" t="s">
        <v>182</v>
      </c>
      <c r="AS19" t="s">
        <v>182</v>
      </c>
      <c r="AT19" t="s">
        <v>182</v>
      </c>
      <c r="AU19" t="s">
        <v>182</v>
      </c>
      <c r="AV19" t="s">
        <v>182</v>
      </c>
      <c r="AW19" t="s">
        <v>182</v>
      </c>
      <c r="AX19" t="s">
        <v>182</v>
      </c>
      <c r="AY19">
        <v>131</v>
      </c>
      <c r="AZ19">
        <v>1</v>
      </c>
      <c r="BA19" t="s">
        <v>182</v>
      </c>
      <c r="BB19" t="s">
        <v>182</v>
      </c>
      <c r="BC19" t="s">
        <v>182</v>
      </c>
      <c r="BD19" t="s">
        <v>182</v>
      </c>
      <c r="BE19" t="s">
        <v>182</v>
      </c>
      <c r="BF19" t="s">
        <v>182</v>
      </c>
      <c r="BG19" t="s">
        <v>182</v>
      </c>
      <c r="BH19" t="s">
        <v>182</v>
      </c>
    </row>
    <row r="20" spans="1:60" hidden="1" x14ac:dyDescent="0.3">
      <c r="A20" t="b">
        <v>0</v>
      </c>
      <c r="B20">
        <v>80</v>
      </c>
      <c r="C20" t="s">
        <v>10</v>
      </c>
      <c r="D20" t="s">
        <v>182</v>
      </c>
      <c r="E20" t="s">
        <v>182</v>
      </c>
      <c r="F20" t="s">
        <v>182</v>
      </c>
      <c r="G20" t="s">
        <v>182</v>
      </c>
      <c r="H20" t="s">
        <v>182</v>
      </c>
      <c r="I20">
        <v>80</v>
      </c>
      <c r="J20" t="s">
        <v>10</v>
      </c>
      <c r="K20" t="s">
        <v>182</v>
      </c>
      <c r="L20" t="s">
        <v>182</v>
      </c>
      <c r="M20" t="s">
        <v>182</v>
      </c>
      <c r="N20" t="s">
        <v>182</v>
      </c>
      <c r="O20" t="s">
        <v>182</v>
      </c>
      <c r="P20" t="b">
        <v>1</v>
      </c>
      <c r="Q20" t="b">
        <v>1</v>
      </c>
      <c r="R20">
        <v>0</v>
      </c>
      <c r="S20">
        <v>0</v>
      </c>
      <c r="T20" t="s">
        <v>183</v>
      </c>
      <c r="U20" t="s">
        <v>184</v>
      </c>
      <c r="V20" t="s">
        <v>185</v>
      </c>
      <c r="W20" t="b">
        <v>1</v>
      </c>
      <c r="X20">
        <v>0</v>
      </c>
      <c r="Y20" t="s">
        <v>186</v>
      </c>
      <c r="Z20" t="b">
        <v>0</v>
      </c>
      <c r="AA20">
        <v>139</v>
      </c>
      <c r="AC20">
        <v>6</v>
      </c>
      <c r="AD20" t="s">
        <v>285</v>
      </c>
      <c r="AE20" t="s">
        <v>292</v>
      </c>
      <c r="AF20" t="s">
        <v>293</v>
      </c>
      <c r="AG20" t="str">
        <f>VLOOKUP(AH20,Target_IES!$A:$A,1,FALSE)</f>
        <v>The Wright Company</v>
      </c>
      <c r="AH20" t="s">
        <v>114</v>
      </c>
      <c r="AI20" t="s">
        <v>114</v>
      </c>
      <c r="AJ20" t="b">
        <v>1</v>
      </c>
      <c r="AK20" t="s">
        <v>294</v>
      </c>
      <c r="AL20" t="s">
        <v>182</v>
      </c>
      <c r="AM20" t="s">
        <v>182</v>
      </c>
      <c r="AN20">
        <v>99</v>
      </c>
      <c r="AO20" t="s">
        <v>295</v>
      </c>
      <c r="AP20" t="s">
        <v>182</v>
      </c>
      <c r="AQ20" t="s">
        <v>182</v>
      </c>
      <c r="AR20" t="s">
        <v>182</v>
      </c>
      <c r="AS20" t="s">
        <v>182</v>
      </c>
      <c r="AT20" t="s">
        <v>182</v>
      </c>
      <c r="AU20" t="s">
        <v>182</v>
      </c>
      <c r="AV20" t="s">
        <v>182</v>
      </c>
      <c r="AW20" t="s">
        <v>182</v>
      </c>
      <c r="AX20" t="s">
        <v>182</v>
      </c>
      <c r="AY20">
        <v>1155</v>
      </c>
      <c r="AZ20">
        <v>2</v>
      </c>
      <c r="BA20" t="s">
        <v>182</v>
      </c>
      <c r="BB20" t="s">
        <v>182</v>
      </c>
      <c r="BC20" t="s">
        <v>182</v>
      </c>
      <c r="BD20" t="s">
        <v>182</v>
      </c>
      <c r="BE20" t="s">
        <v>182</v>
      </c>
      <c r="BF20" t="s">
        <v>182</v>
      </c>
      <c r="BG20" t="s">
        <v>182</v>
      </c>
      <c r="BH20" t="s">
        <v>182</v>
      </c>
    </row>
    <row r="21" spans="1:60" ht="15" customHeight="1" x14ac:dyDescent="0.3">
      <c r="A21" t="b">
        <v>0</v>
      </c>
      <c r="B21">
        <v>94</v>
      </c>
      <c r="C21" t="s">
        <v>296</v>
      </c>
      <c r="D21" t="s">
        <v>297</v>
      </c>
      <c r="E21" t="s">
        <v>207</v>
      </c>
      <c r="F21" t="s">
        <v>208</v>
      </c>
      <c r="G21" t="s">
        <v>209</v>
      </c>
      <c r="H21">
        <v>96740</v>
      </c>
      <c r="I21">
        <v>94</v>
      </c>
      <c r="J21" t="s">
        <v>296</v>
      </c>
      <c r="K21" t="s">
        <v>297</v>
      </c>
      <c r="L21" t="s">
        <v>207</v>
      </c>
      <c r="M21" t="s">
        <v>208</v>
      </c>
      <c r="N21" t="s">
        <v>209</v>
      </c>
      <c r="O21">
        <v>96740</v>
      </c>
      <c r="P21" t="b">
        <v>1</v>
      </c>
      <c r="Q21" t="b">
        <v>1</v>
      </c>
      <c r="R21">
        <v>0</v>
      </c>
      <c r="S21">
        <v>0</v>
      </c>
      <c r="T21" t="s">
        <v>183</v>
      </c>
      <c r="U21" t="s">
        <v>184</v>
      </c>
      <c r="V21" t="s">
        <v>185</v>
      </c>
      <c r="W21" t="b">
        <v>1</v>
      </c>
      <c r="X21">
        <v>0</v>
      </c>
      <c r="Y21" t="s">
        <v>186</v>
      </c>
      <c r="Z21" t="b">
        <v>0</v>
      </c>
      <c r="AA21">
        <v>161</v>
      </c>
      <c r="AB21" t="str">
        <f t="shared" ref="AB21:AB22" si="0">_xlfn.CONCAT("'",AA21,"'",",")</f>
        <v>'161',</v>
      </c>
      <c r="AC21">
        <v>3</v>
      </c>
      <c r="AD21" t="s">
        <v>298</v>
      </c>
      <c r="AE21" t="s">
        <v>299</v>
      </c>
      <c r="AF21" t="s">
        <v>300</v>
      </c>
      <c r="AG21" t="e">
        <f>VLOOKUP(AH21,Target_IES!$A:$A,1,FALSE)</f>
        <v>#N/A</v>
      </c>
      <c r="AH21" t="s">
        <v>301</v>
      </c>
      <c r="AI21" t="s">
        <v>301</v>
      </c>
      <c r="AJ21" t="b">
        <v>1</v>
      </c>
      <c r="AK21" t="s">
        <v>302</v>
      </c>
      <c r="AL21">
        <v>8</v>
      </c>
      <c r="AM21" t="s">
        <v>191</v>
      </c>
      <c r="AN21">
        <v>99</v>
      </c>
      <c r="AO21" t="s">
        <v>214</v>
      </c>
      <c r="AP21" s="1" t="s">
        <v>303</v>
      </c>
      <c r="AQ21">
        <v>593698</v>
      </c>
      <c r="AR21" t="s">
        <v>182</v>
      </c>
      <c r="AS21" t="s">
        <v>182</v>
      </c>
      <c r="AT21" t="s">
        <v>182</v>
      </c>
      <c r="AU21" t="s">
        <v>60</v>
      </c>
      <c r="AV21" t="s">
        <v>216</v>
      </c>
      <c r="AW21" t="s">
        <v>304</v>
      </c>
      <c r="AX21" t="s">
        <v>182</v>
      </c>
      <c r="AY21">
        <v>160</v>
      </c>
      <c r="AZ21">
        <v>1</v>
      </c>
      <c r="BA21" t="s">
        <v>182</v>
      </c>
      <c r="BB21" t="s">
        <v>182</v>
      </c>
      <c r="BC21" t="s">
        <v>182</v>
      </c>
      <c r="BD21" t="s">
        <v>182</v>
      </c>
      <c r="BE21" t="s">
        <v>182</v>
      </c>
      <c r="BF21" t="s">
        <v>182</v>
      </c>
      <c r="BG21" t="s">
        <v>182</v>
      </c>
      <c r="BH21" t="s">
        <v>182</v>
      </c>
    </row>
    <row r="22" spans="1:60" x14ac:dyDescent="0.3">
      <c r="A22" t="b">
        <v>1</v>
      </c>
      <c r="B22" t="s">
        <v>182</v>
      </c>
      <c r="C22" t="s">
        <v>182</v>
      </c>
      <c r="D22" t="s">
        <v>182</v>
      </c>
      <c r="E22" t="s">
        <v>182</v>
      </c>
      <c r="F22" t="s">
        <v>182</v>
      </c>
      <c r="G22" t="s">
        <v>182</v>
      </c>
      <c r="H22" t="s">
        <v>182</v>
      </c>
      <c r="I22" t="s">
        <v>182</v>
      </c>
      <c r="J22" t="s">
        <v>182</v>
      </c>
      <c r="K22" t="s">
        <v>182</v>
      </c>
      <c r="L22" t="s">
        <v>182</v>
      </c>
      <c r="M22" t="s">
        <v>182</v>
      </c>
      <c r="N22" t="s">
        <v>182</v>
      </c>
      <c r="O22" t="s">
        <v>182</v>
      </c>
      <c r="P22" t="b">
        <v>1</v>
      </c>
      <c r="Q22" t="b">
        <v>1</v>
      </c>
      <c r="R22">
        <v>0</v>
      </c>
      <c r="S22">
        <v>0</v>
      </c>
      <c r="T22" t="s">
        <v>183</v>
      </c>
      <c r="U22" t="s">
        <v>184</v>
      </c>
      <c r="V22" t="s">
        <v>185</v>
      </c>
      <c r="W22" t="b">
        <v>1</v>
      </c>
      <c r="X22">
        <v>0</v>
      </c>
      <c r="Y22" t="s">
        <v>186</v>
      </c>
      <c r="Z22" t="b">
        <v>0</v>
      </c>
      <c r="AA22">
        <v>199</v>
      </c>
      <c r="AB22" t="str">
        <f t="shared" si="0"/>
        <v>'199',</v>
      </c>
      <c r="AC22">
        <v>2</v>
      </c>
      <c r="AD22" t="s">
        <v>305</v>
      </c>
      <c r="AE22" t="s">
        <v>306</v>
      </c>
      <c r="AF22" t="s">
        <v>307</v>
      </c>
      <c r="AG22" t="e">
        <f>VLOOKUP(AH22,Target_IES!$A:$A,1,FALSE)</f>
        <v>#N/A</v>
      </c>
      <c r="AH22" t="s">
        <v>308</v>
      </c>
      <c r="AI22" t="s">
        <v>308</v>
      </c>
      <c r="AJ22" t="b">
        <v>1</v>
      </c>
      <c r="AK22" t="s">
        <v>309</v>
      </c>
      <c r="AL22" t="s">
        <v>182</v>
      </c>
      <c r="AM22" t="s">
        <v>182</v>
      </c>
      <c r="AN22" t="s">
        <v>182</v>
      </c>
      <c r="AO22" t="s">
        <v>182</v>
      </c>
      <c r="AP22" t="s">
        <v>182</v>
      </c>
      <c r="AQ22" t="s">
        <v>182</v>
      </c>
      <c r="AR22" t="s">
        <v>182</v>
      </c>
      <c r="AS22" t="s">
        <v>182</v>
      </c>
      <c r="AT22" t="s">
        <v>182</v>
      </c>
      <c r="AU22" t="s">
        <v>182</v>
      </c>
      <c r="AV22" t="s">
        <v>182</v>
      </c>
      <c r="AW22" t="s">
        <v>182</v>
      </c>
      <c r="AX22" t="s">
        <v>182</v>
      </c>
      <c r="AY22">
        <v>198</v>
      </c>
      <c r="AZ22">
        <v>1</v>
      </c>
      <c r="BA22" t="s">
        <v>182</v>
      </c>
      <c r="BB22" t="s">
        <v>182</v>
      </c>
      <c r="BC22" t="s">
        <v>182</v>
      </c>
      <c r="BD22" t="s">
        <v>182</v>
      </c>
      <c r="BE22" t="s">
        <v>182</v>
      </c>
      <c r="BF22" t="s">
        <v>182</v>
      </c>
      <c r="BG22" t="s">
        <v>182</v>
      </c>
      <c r="BH22" t="s">
        <v>182</v>
      </c>
    </row>
    <row r="23" spans="1:60" hidden="1" x14ac:dyDescent="0.3">
      <c r="A23" t="b">
        <v>0</v>
      </c>
      <c r="B23" t="s">
        <v>182</v>
      </c>
      <c r="C23" t="s">
        <v>182</v>
      </c>
      <c r="D23" t="s">
        <v>182</v>
      </c>
      <c r="E23" t="s">
        <v>182</v>
      </c>
      <c r="F23" t="s">
        <v>182</v>
      </c>
      <c r="G23" t="s">
        <v>182</v>
      </c>
      <c r="H23" t="s">
        <v>182</v>
      </c>
      <c r="I23" t="s">
        <v>182</v>
      </c>
      <c r="J23" t="s">
        <v>182</v>
      </c>
      <c r="K23" t="s">
        <v>182</v>
      </c>
      <c r="L23" t="s">
        <v>182</v>
      </c>
      <c r="M23" t="s">
        <v>182</v>
      </c>
      <c r="N23" t="s">
        <v>182</v>
      </c>
      <c r="O23" t="s">
        <v>182</v>
      </c>
      <c r="P23" t="b">
        <v>1</v>
      </c>
      <c r="Q23" t="b">
        <v>1</v>
      </c>
      <c r="R23">
        <v>0</v>
      </c>
      <c r="S23">
        <v>0</v>
      </c>
      <c r="T23" t="s">
        <v>183</v>
      </c>
      <c r="U23" t="s">
        <v>184</v>
      </c>
      <c r="V23" t="s">
        <v>185</v>
      </c>
      <c r="W23" t="b">
        <v>1</v>
      </c>
      <c r="X23">
        <v>0</v>
      </c>
      <c r="Y23" t="s">
        <v>186</v>
      </c>
      <c r="Z23" t="b">
        <v>0</v>
      </c>
      <c r="AA23">
        <v>195</v>
      </c>
      <c r="AC23">
        <v>3</v>
      </c>
      <c r="AD23" t="s">
        <v>305</v>
      </c>
      <c r="AE23" t="s">
        <v>310</v>
      </c>
      <c r="AF23" t="s">
        <v>311</v>
      </c>
      <c r="AG23" t="str">
        <f>VLOOKUP(AH23,Target_IES!$A:$A,1,FALSE)</f>
        <v>The Wright Company</v>
      </c>
      <c r="AH23" t="s">
        <v>114</v>
      </c>
      <c r="AI23" t="s">
        <v>114</v>
      </c>
      <c r="AJ23" t="b">
        <v>1</v>
      </c>
      <c r="AK23" t="s">
        <v>312</v>
      </c>
      <c r="AL23">
        <v>8</v>
      </c>
      <c r="AM23" t="s">
        <v>191</v>
      </c>
      <c r="AN23">
        <v>99</v>
      </c>
      <c r="AO23" t="s">
        <v>295</v>
      </c>
      <c r="AP23" t="s">
        <v>182</v>
      </c>
      <c r="AQ23">
        <v>593700</v>
      </c>
      <c r="AR23" t="s">
        <v>182</v>
      </c>
      <c r="AS23" t="s">
        <v>182</v>
      </c>
      <c r="AT23" t="s">
        <v>182</v>
      </c>
      <c r="AU23" t="s">
        <v>182</v>
      </c>
      <c r="AV23" t="s">
        <v>182</v>
      </c>
      <c r="AW23" t="s">
        <v>182</v>
      </c>
      <c r="AX23" t="s">
        <v>313</v>
      </c>
      <c r="AY23">
        <v>190</v>
      </c>
      <c r="AZ23">
        <v>1</v>
      </c>
      <c r="BA23" t="s">
        <v>182</v>
      </c>
      <c r="BB23" t="s">
        <v>182</v>
      </c>
      <c r="BC23" t="s">
        <v>314</v>
      </c>
      <c r="BD23" t="s">
        <v>182</v>
      </c>
      <c r="BE23" t="s">
        <v>182</v>
      </c>
      <c r="BF23" t="s">
        <v>182</v>
      </c>
      <c r="BG23" t="s">
        <v>182</v>
      </c>
      <c r="BH23" t="s">
        <v>182</v>
      </c>
    </row>
    <row r="24" spans="1:60" hidden="1" x14ac:dyDescent="0.3">
      <c r="A24" t="b">
        <v>0</v>
      </c>
      <c r="B24" t="s">
        <v>182</v>
      </c>
      <c r="C24" t="s">
        <v>182</v>
      </c>
      <c r="D24" t="s">
        <v>182</v>
      </c>
      <c r="E24" t="s">
        <v>182</v>
      </c>
      <c r="F24" t="s">
        <v>182</v>
      </c>
      <c r="G24" t="s">
        <v>182</v>
      </c>
      <c r="H24" t="s">
        <v>182</v>
      </c>
      <c r="I24" t="s">
        <v>182</v>
      </c>
      <c r="J24" t="s">
        <v>182</v>
      </c>
      <c r="K24" t="s">
        <v>182</v>
      </c>
      <c r="L24" t="s">
        <v>182</v>
      </c>
      <c r="M24" t="s">
        <v>182</v>
      </c>
      <c r="N24" t="s">
        <v>182</v>
      </c>
      <c r="O24" t="s">
        <v>182</v>
      </c>
      <c r="P24" t="b">
        <v>1</v>
      </c>
      <c r="Q24" t="b">
        <v>1</v>
      </c>
      <c r="R24">
        <v>0</v>
      </c>
      <c r="S24">
        <v>0</v>
      </c>
      <c r="T24" t="s">
        <v>183</v>
      </c>
      <c r="U24" t="s">
        <v>184</v>
      </c>
      <c r="V24" t="s">
        <v>185</v>
      </c>
      <c r="W24" t="b">
        <v>1</v>
      </c>
      <c r="X24">
        <v>0</v>
      </c>
      <c r="Y24" t="s">
        <v>186</v>
      </c>
      <c r="Z24" t="b">
        <v>0</v>
      </c>
      <c r="AA24">
        <v>194</v>
      </c>
      <c r="AC24">
        <v>5</v>
      </c>
      <c r="AD24" t="s">
        <v>305</v>
      </c>
      <c r="AE24" t="s">
        <v>306</v>
      </c>
      <c r="AF24" t="s">
        <v>315</v>
      </c>
      <c r="AG24" t="str">
        <f>VLOOKUP(AH24,Target_IES!$A:$A,1,FALSE)</f>
        <v>Rockit Events</v>
      </c>
      <c r="AH24" t="s">
        <v>316</v>
      </c>
      <c r="AI24" t="s">
        <v>316</v>
      </c>
      <c r="AJ24" t="b">
        <v>1</v>
      </c>
      <c r="AK24" t="s">
        <v>317</v>
      </c>
      <c r="AL24">
        <v>8</v>
      </c>
      <c r="AM24" t="s">
        <v>191</v>
      </c>
      <c r="AN24">
        <v>99</v>
      </c>
      <c r="AO24" t="s">
        <v>295</v>
      </c>
      <c r="AP24" t="s">
        <v>182</v>
      </c>
      <c r="AQ24">
        <v>593700</v>
      </c>
      <c r="AR24" t="s">
        <v>182</v>
      </c>
      <c r="AS24" t="s">
        <v>182</v>
      </c>
      <c r="AT24" t="s">
        <v>182</v>
      </c>
      <c r="AU24" t="s">
        <v>182</v>
      </c>
      <c r="AV24" t="s">
        <v>182</v>
      </c>
      <c r="AW24" t="s">
        <v>182</v>
      </c>
      <c r="AX24" t="s">
        <v>313</v>
      </c>
      <c r="AY24">
        <v>1154</v>
      </c>
      <c r="AZ24">
        <v>2</v>
      </c>
      <c r="BA24" t="s">
        <v>182</v>
      </c>
      <c r="BB24" t="s">
        <v>182</v>
      </c>
      <c r="BC24" t="s">
        <v>314</v>
      </c>
      <c r="BD24" t="s">
        <v>182</v>
      </c>
      <c r="BE24" t="s">
        <v>182</v>
      </c>
      <c r="BF24" t="s">
        <v>182</v>
      </c>
      <c r="BG24" t="s">
        <v>182</v>
      </c>
      <c r="BH24" t="s">
        <v>182</v>
      </c>
    </row>
    <row r="25" spans="1:60" hidden="1" x14ac:dyDescent="0.3">
      <c r="A25" t="b">
        <v>0</v>
      </c>
      <c r="B25" t="s">
        <v>182</v>
      </c>
      <c r="C25" t="s">
        <v>182</v>
      </c>
      <c r="D25" t="s">
        <v>182</v>
      </c>
      <c r="E25" t="s">
        <v>182</v>
      </c>
      <c r="F25" t="s">
        <v>182</v>
      </c>
      <c r="G25" t="s">
        <v>182</v>
      </c>
      <c r="H25" t="s">
        <v>182</v>
      </c>
      <c r="I25" t="s">
        <v>182</v>
      </c>
      <c r="J25" t="s">
        <v>182</v>
      </c>
      <c r="K25" t="s">
        <v>182</v>
      </c>
      <c r="L25" t="s">
        <v>182</v>
      </c>
      <c r="M25" t="s">
        <v>182</v>
      </c>
      <c r="N25" t="s">
        <v>182</v>
      </c>
      <c r="O25" t="s">
        <v>182</v>
      </c>
      <c r="P25" t="b">
        <v>1</v>
      </c>
      <c r="Q25" t="b">
        <v>1</v>
      </c>
      <c r="R25">
        <v>0</v>
      </c>
      <c r="S25">
        <v>0</v>
      </c>
      <c r="T25" t="s">
        <v>183</v>
      </c>
      <c r="U25" t="s">
        <v>184</v>
      </c>
      <c r="V25" t="s">
        <v>185</v>
      </c>
      <c r="W25" t="b">
        <v>1</v>
      </c>
      <c r="X25">
        <v>0</v>
      </c>
      <c r="Y25" t="s">
        <v>186</v>
      </c>
      <c r="Z25" t="b">
        <v>0</v>
      </c>
      <c r="AA25">
        <v>192</v>
      </c>
      <c r="AC25">
        <v>5</v>
      </c>
      <c r="AD25" t="s">
        <v>305</v>
      </c>
      <c r="AE25" t="s">
        <v>318</v>
      </c>
      <c r="AF25" t="s">
        <v>319</v>
      </c>
      <c r="AG25" t="str">
        <f>VLOOKUP(AH25,Target_IES!$A:$A,1,FALSE)</f>
        <v>Crossing Boundaries</v>
      </c>
      <c r="AH25" t="s">
        <v>32</v>
      </c>
      <c r="AI25" t="s">
        <v>32</v>
      </c>
      <c r="AJ25" t="b">
        <v>1</v>
      </c>
      <c r="AK25" t="s">
        <v>320</v>
      </c>
      <c r="AL25">
        <v>8</v>
      </c>
      <c r="AM25" t="s">
        <v>191</v>
      </c>
      <c r="AN25">
        <v>99</v>
      </c>
      <c r="AO25" t="s">
        <v>295</v>
      </c>
      <c r="AP25" t="s">
        <v>182</v>
      </c>
      <c r="AQ25">
        <v>593700</v>
      </c>
      <c r="AR25" t="s">
        <v>182</v>
      </c>
      <c r="AS25" t="s">
        <v>182</v>
      </c>
      <c r="AT25" t="s">
        <v>182</v>
      </c>
      <c r="AU25" t="s">
        <v>182</v>
      </c>
      <c r="AV25" t="s">
        <v>182</v>
      </c>
      <c r="AW25" t="s">
        <v>182</v>
      </c>
      <c r="AX25" t="s">
        <v>313</v>
      </c>
      <c r="AY25">
        <v>1153</v>
      </c>
      <c r="AZ25">
        <v>2</v>
      </c>
      <c r="BA25" t="s">
        <v>182</v>
      </c>
      <c r="BB25" t="s">
        <v>182</v>
      </c>
      <c r="BC25" t="s">
        <v>314</v>
      </c>
      <c r="BD25" t="s">
        <v>182</v>
      </c>
      <c r="BE25" t="s">
        <v>182</v>
      </c>
      <c r="BF25" t="s">
        <v>182</v>
      </c>
      <c r="BG25" t="s">
        <v>182</v>
      </c>
      <c r="BH25" t="s">
        <v>182</v>
      </c>
    </row>
    <row r="26" spans="1:60" hidden="1" x14ac:dyDescent="0.3">
      <c r="A26" t="b">
        <v>0</v>
      </c>
      <c r="B26" t="s">
        <v>182</v>
      </c>
      <c r="C26" t="s">
        <v>182</v>
      </c>
      <c r="D26" t="s">
        <v>182</v>
      </c>
      <c r="E26" t="s">
        <v>182</v>
      </c>
      <c r="F26" t="s">
        <v>182</v>
      </c>
      <c r="G26" t="s">
        <v>182</v>
      </c>
      <c r="H26" t="s">
        <v>182</v>
      </c>
      <c r="I26" t="s">
        <v>182</v>
      </c>
      <c r="J26" t="s">
        <v>182</v>
      </c>
      <c r="K26" t="s">
        <v>182</v>
      </c>
      <c r="L26" t="s">
        <v>182</v>
      </c>
      <c r="M26" t="s">
        <v>182</v>
      </c>
      <c r="N26" t="s">
        <v>182</v>
      </c>
      <c r="O26" t="s">
        <v>182</v>
      </c>
      <c r="P26" t="b">
        <v>1</v>
      </c>
      <c r="Q26" t="b">
        <v>1</v>
      </c>
      <c r="R26">
        <v>0</v>
      </c>
      <c r="S26">
        <v>0</v>
      </c>
      <c r="T26" t="s">
        <v>183</v>
      </c>
      <c r="U26" t="s">
        <v>184</v>
      </c>
      <c r="V26" t="s">
        <v>185</v>
      </c>
      <c r="W26" t="b">
        <v>1</v>
      </c>
      <c r="X26">
        <v>0</v>
      </c>
      <c r="Y26" t="s">
        <v>186</v>
      </c>
      <c r="Z26" t="b">
        <v>0</v>
      </c>
      <c r="AA26">
        <v>191</v>
      </c>
      <c r="AC26">
        <v>5</v>
      </c>
      <c r="AD26" t="s">
        <v>305</v>
      </c>
      <c r="AE26" t="s">
        <v>321</v>
      </c>
      <c r="AF26" t="s">
        <v>322</v>
      </c>
      <c r="AG26" t="str">
        <f>VLOOKUP(AH26,Target_IES!$A:$A,1,FALSE)</f>
        <v>Affiliate 20%</v>
      </c>
      <c r="AH26" t="s">
        <v>9</v>
      </c>
      <c r="AI26" t="s">
        <v>9</v>
      </c>
      <c r="AJ26" t="b">
        <v>1</v>
      </c>
      <c r="AK26" t="s">
        <v>323</v>
      </c>
      <c r="AL26">
        <v>8</v>
      </c>
      <c r="AM26" t="s">
        <v>191</v>
      </c>
      <c r="AN26">
        <v>99</v>
      </c>
      <c r="AO26" t="s">
        <v>295</v>
      </c>
      <c r="AP26" t="s">
        <v>182</v>
      </c>
      <c r="AQ26">
        <v>593700</v>
      </c>
      <c r="AR26" t="s">
        <v>182</v>
      </c>
      <c r="AS26" t="s">
        <v>182</v>
      </c>
      <c r="AT26" t="s">
        <v>182</v>
      </c>
      <c r="AU26" t="s">
        <v>182</v>
      </c>
      <c r="AV26" t="s">
        <v>182</v>
      </c>
      <c r="AW26" t="s">
        <v>182</v>
      </c>
      <c r="AX26" t="s">
        <v>313</v>
      </c>
      <c r="AY26">
        <v>1152</v>
      </c>
      <c r="AZ26">
        <v>2</v>
      </c>
      <c r="BA26" t="s">
        <v>182</v>
      </c>
      <c r="BB26" t="s">
        <v>182</v>
      </c>
      <c r="BC26" t="s">
        <v>314</v>
      </c>
      <c r="BD26" t="s">
        <v>182</v>
      </c>
      <c r="BE26" t="s">
        <v>182</v>
      </c>
      <c r="BF26" t="s">
        <v>182</v>
      </c>
      <c r="BG26" t="s">
        <v>182</v>
      </c>
      <c r="BH26" t="s">
        <v>182</v>
      </c>
    </row>
    <row r="27" spans="1:60" hidden="1" x14ac:dyDescent="0.3">
      <c r="A27" t="b">
        <v>0</v>
      </c>
      <c r="B27">
        <v>132</v>
      </c>
      <c r="C27" t="s">
        <v>324</v>
      </c>
      <c r="D27" t="s">
        <v>182</v>
      </c>
      <c r="E27" t="s">
        <v>182</v>
      </c>
      <c r="F27" t="s">
        <v>325</v>
      </c>
      <c r="G27" t="s">
        <v>209</v>
      </c>
      <c r="H27">
        <v>96753</v>
      </c>
      <c r="I27">
        <v>132</v>
      </c>
      <c r="J27" t="s">
        <v>324</v>
      </c>
      <c r="K27" t="s">
        <v>182</v>
      </c>
      <c r="L27" t="s">
        <v>182</v>
      </c>
      <c r="M27" t="s">
        <v>325</v>
      </c>
      <c r="N27" t="s">
        <v>209</v>
      </c>
      <c r="O27">
        <v>96753</v>
      </c>
      <c r="P27" t="b">
        <v>1</v>
      </c>
      <c r="Q27" t="b">
        <v>1</v>
      </c>
      <c r="R27">
        <v>0</v>
      </c>
      <c r="S27">
        <v>0</v>
      </c>
      <c r="T27" t="s">
        <v>183</v>
      </c>
      <c r="U27" t="s">
        <v>184</v>
      </c>
      <c r="V27" t="s">
        <v>185</v>
      </c>
      <c r="W27" t="b">
        <v>1</v>
      </c>
      <c r="X27">
        <v>0</v>
      </c>
      <c r="Y27" t="s">
        <v>186</v>
      </c>
      <c r="Z27" t="b">
        <v>0</v>
      </c>
      <c r="AA27">
        <v>299</v>
      </c>
      <c r="AC27">
        <v>3</v>
      </c>
      <c r="AD27" t="s">
        <v>326</v>
      </c>
      <c r="AE27" t="s">
        <v>327</v>
      </c>
      <c r="AF27" t="s">
        <v>328</v>
      </c>
      <c r="AG27" t="str">
        <f>VLOOKUP(AH27,Target_IES!$A:$A,1,FALSE)</f>
        <v>Chrysalis Events Hawaii</v>
      </c>
      <c r="AH27" t="s">
        <v>29</v>
      </c>
      <c r="AI27" t="s">
        <v>29</v>
      </c>
      <c r="AJ27" t="b">
        <v>1</v>
      </c>
      <c r="AK27" t="s">
        <v>329</v>
      </c>
      <c r="AL27">
        <v>8</v>
      </c>
      <c r="AM27" t="s">
        <v>191</v>
      </c>
      <c r="AN27">
        <v>99</v>
      </c>
      <c r="AO27" t="s">
        <v>330</v>
      </c>
      <c r="AP27" t="s">
        <v>182</v>
      </c>
      <c r="AQ27">
        <v>593694</v>
      </c>
      <c r="AR27" t="s">
        <v>182</v>
      </c>
      <c r="AS27" t="s">
        <v>182</v>
      </c>
      <c r="AT27" t="s">
        <v>182</v>
      </c>
      <c r="AU27" t="s">
        <v>182</v>
      </c>
      <c r="AV27" t="s">
        <v>331</v>
      </c>
      <c r="AW27" t="s">
        <v>332</v>
      </c>
      <c r="AX27" t="s">
        <v>182</v>
      </c>
      <c r="AY27">
        <v>86</v>
      </c>
      <c r="AZ27">
        <v>1</v>
      </c>
      <c r="BA27" t="s">
        <v>182</v>
      </c>
      <c r="BB27" t="s">
        <v>182</v>
      </c>
      <c r="BC27" t="s">
        <v>182</v>
      </c>
      <c r="BD27" t="s">
        <v>182</v>
      </c>
      <c r="BE27" t="s">
        <v>182</v>
      </c>
      <c r="BF27" t="s">
        <v>182</v>
      </c>
      <c r="BG27" t="s">
        <v>182</v>
      </c>
      <c r="BH27" t="s">
        <v>182</v>
      </c>
    </row>
    <row r="28" spans="1:60" hidden="1" x14ac:dyDescent="0.3">
      <c r="A28" t="b">
        <v>0</v>
      </c>
      <c r="B28" t="s">
        <v>182</v>
      </c>
      <c r="C28" t="s">
        <v>182</v>
      </c>
      <c r="D28" t="s">
        <v>182</v>
      </c>
      <c r="E28" t="s">
        <v>182</v>
      </c>
      <c r="F28" t="s">
        <v>182</v>
      </c>
      <c r="G28" t="s">
        <v>182</v>
      </c>
      <c r="H28" t="s">
        <v>182</v>
      </c>
      <c r="I28" t="s">
        <v>182</v>
      </c>
      <c r="J28" t="s">
        <v>182</v>
      </c>
      <c r="K28" t="s">
        <v>182</v>
      </c>
      <c r="L28" t="s">
        <v>182</v>
      </c>
      <c r="M28" t="s">
        <v>182</v>
      </c>
      <c r="N28" t="s">
        <v>182</v>
      </c>
      <c r="O28" t="s">
        <v>182</v>
      </c>
      <c r="P28" t="b">
        <v>1</v>
      </c>
      <c r="Q28" t="b">
        <v>1</v>
      </c>
      <c r="R28">
        <v>0</v>
      </c>
      <c r="S28">
        <v>0</v>
      </c>
      <c r="T28" t="s">
        <v>183</v>
      </c>
      <c r="U28" t="s">
        <v>184</v>
      </c>
      <c r="V28" t="s">
        <v>185</v>
      </c>
      <c r="W28" t="b">
        <v>1</v>
      </c>
      <c r="X28">
        <v>0</v>
      </c>
      <c r="Y28" t="s">
        <v>186</v>
      </c>
      <c r="Z28" t="b">
        <v>0</v>
      </c>
      <c r="AA28">
        <v>297</v>
      </c>
      <c r="AC28">
        <v>3</v>
      </c>
      <c r="AD28" t="s">
        <v>326</v>
      </c>
      <c r="AE28" t="s">
        <v>333</v>
      </c>
      <c r="AF28" t="s">
        <v>334</v>
      </c>
      <c r="AG28" t="str">
        <f>VLOOKUP(AH28,Target_IES!$A:$A,1,FALSE)</f>
        <v>Chrysalis Event Hawaii - FIT</v>
      </c>
      <c r="AH28" t="s">
        <v>25</v>
      </c>
      <c r="AI28" t="s">
        <v>25</v>
      </c>
      <c r="AJ28" t="b">
        <v>1</v>
      </c>
      <c r="AK28" t="s">
        <v>335</v>
      </c>
      <c r="AL28">
        <v>8</v>
      </c>
      <c r="AM28" t="s">
        <v>191</v>
      </c>
      <c r="AN28">
        <v>99</v>
      </c>
      <c r="AO28" t="s">
        <v>330</v>
      </c>
      <c r="AP28" t="s">
        <v>182</v>
      </c>
      <c r="AQ28">
        <v>593695</v>
      </c>
      <c r="AR28" t="s">
        <v>182</v>
      </c>
      <c r="AS28" t="s">
        <v>182</v>
      </c>
      <c r="AT28" t="s">
        <v>182</v>
      </c>
      <c r="AU28" t="s">
        <v>182</v>
      </c>
      <c r="AV28" t="s">
        <v>182</v>
      </c>
      <c r="AW28" t="s">
        <v>182</v>
      </c>
      <c r="AX28" t="s">
        <v>182</v>
      </c>
      <c r="AY28">
        <v>86</v>
      </c>
      <c r="AZ28">
        <v>1</v>
      </c>
      <c r="BA28" t="s">
        <v>182</v>
      </c>
      <c r="BB28" t="s">
        <v>182</v>
      </c>
      <c r="BC28" t="s">
        <v>182</v>
      </c>
      <c r="BD28" t="s">
        <v>182</v>
      </c>
      <c r="BE28" t="s">
        <v>182</v>
      </c>
      <c r="BF28" t="s">
        <v>182</v>
      </c>
      <c r="BG28" t="s">
        <v>182</v>
      </c>
      <c r="BH28" t="s">
        <v>182</v>
      </c>
    </row>
    <row r="29" spans="1:60" x14ac:dyDescent="0.3">
      <c r="A29" t="b">
        <v>0</v>
      </c>
      <c r="B29" t="s">
        <v>182</v>
      </c>
      <c r="C29" t="s">
        <v>182</v>
      </c>
      <c r="D29" t="s">
        <v>182</v>
      </c>
      <c r="E29" t="s">
        <v>182</v>
      </c>
      <c r="F29" t="s">
        <v>182</v>
      </c>
      <c r="G29" t="s">
        <v>182</v>
      </c>
      <c r="H29" t="s">
        <v>182</v>
      </c>
      <c r="I29" t="s">
        <v>182</v>
      </c>
      <c r="J29" t="s">
        <v>182</v>
      </c>
      <c r="K29" t="s">
        <v>182</v>
      </c>
      <c r="L29" t="s">
        <v>182</v>
      </c>
      <c r="M29" t="s">
        <v>182</v>
      </c>
      <c r="N29" t="s">
        <v>182</v>
      </c>
      <c r="O29" t="s">
        <v>182</v>
      </c>
      <c r="P29" t="b">
        <v>1</v>
      </c>
      <c r="Q29" t="b">
        <v>1</v>
      </c>
      <c r="R29">
        <v>0</v>
      </c>
      <c r="S29">
        <v>0</v>
      </c>
      <c r="T29" t="s">
        <v>183</v>
      </c>
      <c r="U29" t="s">
        <v>184</v>
      </c>
      <c r="V29" t="s">
        <v>185</v>
      </c>
      <c r="W29" t="b">
        <v>1</v>
      </c>
      <c r="X29">
        <v>0</v>
      </c>
      <c r="Y29" t="s">
        <v>186</v>
      </c>
      <c r="Z29" t="b">
        <v>0</v>
      </c>
      <c r="AA29">
        <v>1169</v>
      </c>
      <c r="AB29" t="str">
        <f>_xlfn.CONCAT("'",AA29,"'",",")</f>
        <v>'1169',</v>
      </c>
      <c r="AC29">
        <v>10</v>
      </c>
      <c r="AD29" t="s">
        <v>336</v>
      </c>
      <c r="AE29" t="s">
        <v>337</v>
      </c>
      <c r="AF29" t="s">
        <v>338</v>
      </c>
      <c r="AG29" t="e">
        <f>VLOOKUP(AH29,Target_IES!$A:$A,1,FALSE)</f>
        <v>#N/A</v>
      </c>
      <c r="AH29" t="s">
        <v>339</v>
      </c>
      <c r="AI29" t="s">
        <v>339</v>
      </c>
      <c r="AJ29" t="b">
        <v>1</v>
      </c>
      <c r="AK29" t="s">
        <v>340</v>
      </c>
      <c r="AL29" t="s">
        <v>182</v>
      </c>
      <c r="AM29" t="s">
        <v>182</v>
      </c>
      <c r="AN29">
        <v>99</v>
      </c>
      <c r="AO29" t="s">
        <v>273</v>
      </c>
      <c r="AP29" t="s">
        <v>182</v>
      </c>
      <c r="AQ29">
        <v>593697</v>
      </c>
      <c r="AR29" t="s">
        <v>182</v>
      </c>
      <c r="AS29" t="s">
        <v>182</v>
      </c>
      <c r="AT29" t="s">
        <v>182</v>
      </c>
      <c r="AU29" t="s">
        <v>182</v>
      </c>
      <c r="AV29" t="s">
        <v>182</v>
      </c>
      <c r="AW29" t="s">
        <v>182</v>
      </c>
      <c r="AX29" t="s">
        <v>182</v>
      </c>
      <c r="AY29">
        <v>1159</v>
      </c>
      <c r="AZ29">
        <v>2</v>
      </c>
      <c r="BA29" t="s">
        <v>182</v>
      </c>
      <c r="BB29" t="s">
        <v>182</v>
      </c>
      <c r="BC29" t="s">
        <v>182</v>
      </c>
      <c r="BD29" t="s">
        <v>182</v>
      </c>
      <c r="BE29" t="s">
        <v>182</v>
      </c>
      <c r="BF29" t="s">
        <v>182</v>
      </c>
      <c r="BG29" t="s">
        <v>182</v>
      </c>
      <c r="BH29" t="s">
        <v>182</v>
      </c>
    </row>
    <row r="30" spans="1:60" hidden="1" x14ac:dyDescent="0.3">
      <c r="A30" t="b">
        <v>1</v>
      </c>
      <c r="B30" t="s">
        <v>182</v>
      </c>
      <c r="C30" t="s">
        <v>182</v>
      </c>
      <c r="D30" t="s">
        <v>182</v>
      </c>
      <c r="E30" t="s">
        <v>182</v>
      </c>
      <c r="F30" t="s">
        <v>182</v>
      </c>
      <c r="G30" t="s">
        <v>182</v>
      </c>
      <c r="H30" t="s">
        <v>182</v>
      </c>
      <c r="I30" t="s">
        <v>182</v>
      </c>
      <c r="J30" t="s">
        <v>182</v>
      </c>
      <c r="K30" t="s">
        <v>182</v>
      </c>
      <c r="L30" t="s">
        <v>182</v>
      </c>
      <c r="M30" t="s">
        <v>182</v>
      </c>
      <c r="N30" t="s">
        <v>182</v>
      </c>
      <c r="O30" t="s">
        <v>182</v>
      </c>
      <c r="P30" t="b">
        <v>1</v>
      </c>
      <c r="Q30" t="b">
        <v>1</v>
      </c>
      <c r="R30">
        <v>0</v>
      </c>
      <c r="S30">
        <v>0</v>
      </c>
      <c r="T30" t="s">
        <v>183</v>
      </c>
      <c r="U30" t="s">
        <v>184</v>
      </c>
      <c r="V30" t="s">
        <v>185</v>
      </c>
      <c r="W30" t="b">
        <v>1</v>
      </c>
      <c r="X30">
        <v>0</v>
      </c>
      <c r="Y30" t="s">
        <v>186</v>
      </c>
      <c r="Z30" t="b">
        <v>0</v>
      </c>
      <c r="AA30">
        <v>1173</v>
      </c>
      <c r="AC30">
        <v>2</v>
      </c>
      <c r="AD30" t="s">
        <v>341</v>
      </c>
      <c r="AE30" t="s">
        <v>342</v>
      </c>
      <c r="AF30" t="s">
        <v>343</v>
      </c>
      <c r="AG30" t="str">
        <f>VLOOKUP(AH30,Target_IES!$A:$A,1,FALSE)</f>
        <v>Resilient Indigenous Leaders Network</v>
      </c>
      <c r="AH30" t="s">
        <v>101</v>
      </c>
      <c r="AI30" t="s">
        <v>101</v>
      </c>
      <c r="AJ30" t="b">
        <v>1</v>
      </c>
      <c r="AK30" t="s">
        <v>344</v>
      </c>
      <c r="AL30" t="s">
        <v>182</v>
      </c>
      <c r="AM30" t="s">
        <v>182</v>
      </c>
      <c r="AN30" t="s">
        <v>182</v>
      </c>
      <c r="AO30" t="s">
        <v>345</v>
      </c>
      <c r="AP30" t="s">
        <v>182</v>
      </c>
      <c r="AQ30">
        <v>593697</v>
      </c>
      <c r="AR30" t="s">
        <v>182</v>
      </c>
      <c r="AS30" t="s">
        <v>182</v>
      </c>
      <c r="AT30" t="s">
        <v>182</v>
      </c>
      <c r="AU30" t="s">
        <v>182</v>
      </c>
      <c r="AV30" t="s">
        <v>182</v>
      </c>
      <c r="AW30" t="s">
        <v>182</v>
      </c>
      <c r="AX30" t="s">
        <v>182</v>
      </c>
      <c r="AY30">
        <v>131</v>
      </c>
      <c r="AZ30">
        <v>1</v>
      </c>
      <c r="BA30" t="s">
        <v>182</v>
      </c>
      <c r="BB30" t="s">
        <v>182</v>
      </c>
      <c r="BC30" t="s">
        <v>182</v>
      </c>
      <c r="BD30" t="s">
        <v>182</v>
      </c>
      <c r="BE30" t="s">
        <v>182</v>
      </c>
      <c r="BF30" t="s">
        <v>182</v>
      </c>
      <c r="BG30" t="s">
        <v>182</v>
      </c>
      <c r="BH30" t="s">
        <v>182</v>
      </c>
    </row>
    <row r="31" spans="1:60" x14ac:dyDescent="0.3">
      <c r="A31" t="b">
        <v>1</v>
      </c>
      <c r="B31" t="s">
        <v>182</v>
      </c>
      <c r="C31" t="s">
        <v>182</v>
      </c>
      <c r="D31" t="s">
        <v>182</v>
      </c>
      <c r="E31" t="s">
        <v>182</v>
      </c>
      <c r="F31" t="s">
        <v>182</v>
      </c>
      <c r="G31" t="s">
        <v>182</v>
      </c>
      <c r="H31" t="s">
        <v>182</v>
      </c>
      <c r="I31" t="s">
        <v>182</v>
      </c>
      <c r="J31" t="s">
        <v>182</v>
      </c>
      <c r="K31" t="s">
        <v>182</v>
      </c>
      <c r="L31" t="s">
        <v>182</v>
      </c>
      <c r="M31" t="s">
        <v>182</v>
      </c>
      <c r="N31" t="s">
        <v>182</v>
      </c>
      <c r="O31" t="s">
        <v>182</v>
      </c>
      <c r="P31" t="b">
        <v>1</v>
      </c>
      <c r="Q31" t="b">
        <v>1</v>
      </c>
      <c r="R31">
        <v>0</v>
      </c>
      <c r="S31">
        <v>0</v>
      </c>
      <c r="T31" t="s">
        <v>183</v>
      </c>
      <c r="U31" t="s">
        <v>184</v>
      </c>
      <c r="V31" t="s">
        <v>185</v>
      </c>
      <c r="W31" t="b">
        <v>1</v>
      </c>
      <c r="X31">
        <v>0</v>
      </c>
      <c r="Y31" t="s">
        <v>186</v>
      </c>
      <c r="Z31" t="b">
        <v>0</v>
      </c>
      <c r="AA31">
        <v>1243</v>
      </c>
      <c r="AB31" t="str">
        <f t="shared" ref="AB31:AB42" si="1">_xlfn.CONCAT("'",AA31,"'",",")</f>
        <v>'1243',</v>
      </c>
      <c r="AC31">
        <v>2</v>
      </c>
      <c r="AD31" t="s">
        <v>346</v>
      </c>
      <c r="AE31" t="s">
        <v>347</v>
      </c>
      <c r="AF31" t="s">
        <v>348</v>
      </c>
      <c r="AG31" t="e">
        <f>VLOOKUP(AH31,Target_IES!$A:$A,1,FALSE)</f>
        <v>#N/A</v>
      </c>
      <c r="AH31" t="s">
        <v>349</v>
      </c>
      <c r="AI31" t="s">
        <v>349</v>
      </c>
      <c r="AJ31" t="b">
        <v>1</v>
      </c>
      <c r="AK31" t="s">
        <v>350</v>
      </c>
      <c r="AL31" t="s">
        <v>182</v>
      </c>
      <c r="AM31" t="s">
        <v>182</v>
      </c>
      <c r="AN31" t="s">
        <v>182</v>
      </c>
      <c r="AO31" t="s">
        <v>351</v>
      </c>
      <c r="AP31" t="s">
        <v>182</v>
      </c>
      <c r="AQ31">
        <v>593697</v>
      </c>
      <c r="AR31" t="s">
        <v>182</v>
      </c>
      <c r="AS31" t="s">
        <v>182</v>
      </c>
      <c r="AT31" t="s">
        <v>182</v>
      </c>
      <c r="AU31" t="s">
        <v>182</v>
      </c>
      <c r="AV31" t="s">
        <v>182</v>
      </c>
      <c r="AW31" t="s">
        <v>182</v>
      </c>
      <c r="AX31" t="s">
        <v>182</v>
      </c>
      <c r="AY31">
        <v>131</v>
      </c>
      <c r="AZ31">
        <v>1</v>
      </c>
      <c r="BA31" t="s">
        <v>182</v>
      </c>
      <c r="BB31" t="s">
        <v>182</v>
      </c>
      <c r="BC31" t="s">
        <v>182</v>
      </c>
      <c r="BD31" t="s">
        <v>182</v>
      </c>
      <c r="BE31" t="s">
        <v>182</v>
      </c>
      <c r="BF31" t="s">
        <v>182</v>
      </c>
      <c r="BG31" t="s">
        <v>182</v>
      </c>
      <c r="BH31" t="s">
        <v>182</v>
      </c>
    </row>
    <row r="32" spans="1:60" x14ac:dyDescent="0.3">
      <c r="A32" t="b">
        <v>1</v>
      </c>
      <c r="B32" t="s">
        <v>182</v>
      </c>
      <c r="C32" t="s">
        <v>182</v>
      </c>
      <c r="D32" t="s">
        <v>182</v>
      </c>
      <c r="E32" t="s">
        <v>182</v>
      </c>
      <c r="F32" t="s">
        <v>182</v>
      </c>
      <c r="G32" t="s">
        <v>182</v>
      </c>
      <c r="H32" t="s">
        <v>182</v>
      </c>
      <c r="I32" t="s">
        <v>182</v>
      </c>
      <c r="J32" t="s">
        <v>182</v>
      </c>
      <c r="K32" t="s">
        <v>182</v>
      </c>
      <c r="L32" t="s">
        <v>182</v>
      </c>
      <c r="M32" t="s">
        <v>182</v>
      </c>
      <c r="N32" t="s">
        <v>182</v>
      </c>
      <c r="O32" t="s">
        <v>182</v>
      </c>
      <c r="P32" t="b">
        <v>1</v>
      </c>
      <c r="Q32" t="b">
        <v>1</v>
      </c>
      <c r="R32">
        <v>0</v>
      </c>
      <c r="S32">
        <v>0</v>
      </c>
      <c r="T32" t="s">
        <v>183</v>
      </c>
      <c r="U32" t="s">
        <v>184</v>
      </c>
      <c r="V32" t="s">
        <v>185</v>
      </c>
      <c r="W32" t="b">
        <v>1</v>
      </c>
      <c r="X32">
        <v>0</v>
      </c>
      <c r="Y32" t="s">
        <v>186</v>
      </c>
      <c r="Z32" t="b">
        <v>0</v>
      </c>
      <c r="AA32">
        <v>1299</v>
      </c>
      <c r="AB32" t="str">
        <f t="shared" si="1"/>
        <v>'1299',</v>
      </c>
      <c r="AC32">
        <v>3</v>
      </c>
      <c r="AD32" t="s">
        <v>352</v>
      </c>
      <c r="AE32" t="s">
        <v>353</v>
      </c>
      <c r="AF32" t="s">
        <v>354</v>
      </c>
      <c r="AG32" t="e">
        <f>VLOOKUP(AH32,Target_IES!$A:$A,1,FALSE)</f>
        <v>#N/A</v>
      </c>
      <c r="AH32" t="s">
        <v>355</v>
      </c>
      <c r="AI32" t="s">
        <v>355</v>
      </c>
      <c r="AJ32" t="b">
        <v>1</v>
      </c>
      <c r="AK32" t="s">
        <v>356</v>
      </c>
      <c r="AL32" t="s">
        <v>182</v>
      </c>
      <c r="AM32" t="s">
        <v>182</v>
      </c>
      <c r="AN32" t="s">
        <v>182</v>
      </c>
      <c r="AO32" t="s">
        <v>199</v>
      </c>
      <c r="AP32" t="s">
        <v>182</v>
      </c>
      <c r="AQ32" t="s">
        <v>182</v>
      </c>
      <c r="AR32" t="s">
        <v>182</v>
      </c>
      <c r="AS32" t="s">
        <v>182</v>
      </c>
      <c r="AT32" t="s">
        <v>182</v>
      </c>
      <c r="AU32" t="s">
        <v>182</v>
      </c>
      <c r="AV32" t="s">
        <v>182</v>
      </c>
      <c r="AW32" t="s">
        <v>182</v>
      </c>
      <c r="AX32" t="s">
        <v>182</v>
      </c>
      <c r="AY32">
        <v>1279</v>
      </c>
      <c r="AZ32">
        <v>2</v>
      </c>
      <c r="BA32" t="s">
        <v>182</v>
      </c>
      <c r="BB32" t="s">
        <v>182</v>
      </c>
      <c r="BC32" t="s">
        <v>182</v>
      </c>
      <c r="BD32" t="s">
        <v>182</v>
      </c>
      <c r="BE32" t="s">
        <v>182</v>
      </c>
      <c r="BF32" t="s">
        <v>182</v>
      </c>
      <c r="BG32" t="s">
        <v>182</v>
      </c>
      <c r="BH32" t="s">
        <v>182</v>
      </c>
    </row>
    <row r="33" spans="1:60" x14ac:dyDescent="0.3">
      <c r="A33" t="b">
        <v>1</v>
      </c>
      <c r="B33" t="s">
        <v>182</v>
      </c>
      <c r="C33" t="s">
        <v>182</v>
      </c>
      <c r="D33" t="s">
        <v>182</v>
      </c>
      <c r="E33" t="s">
        <v>182</v>
      </c>
      <c r="F33" t="s">
        <v>182</v>
      </c>
      <c r="G33" t="s">
        <v>182</v>
      </c>
      <c r="H33" t="s">
        <v>182</v>
      </c>
      <c r="I33" t="s">
        <v>182</v>
      </c>
      <c r="J33" t="s">
        <v>182</v>
      </c>
      <c r="K33" t="s">
        <v>182</v>
      </c>
      <c r="L33" t="s">
        <v>182</v>
      </c>
      <c r="M33" t="s">
        <v>182</v>
      </c>
      <c r="N33" t="s">
        <v>182</v>
      </c>
      <c r="O33" t="s">
        <v>182</v>
      </c>
      <c r="P33" t="b">
        <v>1</v>
      </c>
      <c r="Q33" t="b">
        <v>1</v>
      </c>
      <c r="R33">
        <v>0</v>
      </c>
      <c r="S33">
        <v>0</v>
      </c>
      <c r="T33" t="s">
        <v>183</v>
      </c>
      <c r="U33" t="s">
        <v>184</v>
      </c>
      <c r="V33" t="s">
        <v>185</v>
      </c>
      <c r="W33" t="b">
        <v>1</v>
      </c>
      <c r="X33">
        <v>0</v>
      </c>
      <c r="Y33" t="s">
        <v>186</v>
      </c>
      <c r="Z33" t="b">
        <v>0</v>
      </c>
      <c r="AA33">
        <v>1303</v>
      </c>
      <c r="AB33" t="str">
        <f t="shared" si="1"/>
        <v>'1303',</v>
      </c>
      <c r="AC33">
        <v>2</v>
      </c>
      <c r="AD33" t="s">
        <v>357</v>
      </c>
      <c r="AE33" t="s">
        <v>358</v>
      </c>
      <c r="AF33" t="s">
        <v>359</v>
      </c>
      <c r="AG33" t="e">
        <f>VLOOKUP(AH33,Target_IES!$A:$A,1,FALSE)</f>
        <v>#N/A</v>
      </c>
      <c r="AH33" s="2" t="s">
        <v>360</v>
      </c>
      <c r="AI33" t="s">
        <v>360</v>
      </c>
      <c r="AJ33" t="b">
        <v>1</v>
      </c>
      <c r="AK33" t="s">
        <v>361</v>
      </c>
      <c r="AL33" t="s">
        <v>182</v>
      </c>
      <c r="AM33" t="s">
        <v>182</v>
      </c>
      <c r="AN33" t="s">
        <v>182</v>
      </c>
      <c r="AO33" t="s">
        <v>199</v>
      </c>
      <c r="AP33" t="s">
        <v>182</v>
      </c>
      <c r="AQ33" t="s">
        <v>182</v>
      </c>
      <c r="AR33" t="s">
        <v>182</v>
      </c>
      <c r="AS33" t="s">
        <v>182</v>
      </c>
      <c r="AT33" t="s">
        <v>182</v>
      </c>
      <c r="AU33" t="s">
        <v>182</v>
      </c>
      <c r="AV33" t="s">
        <v>182</v>
      </c>
      <c r="AW33" t="s">
        <v>182</v>
      </c>
      <c r="AX33" t="s">
        <v>182</v>
      </c>
      <c r="AY33">
        <v>1185</v>
      </c>
      <c r="AZ33">
        <v>2</v>
      </c>
      <c r="BA33" t="s">
        <v>182</v>
      </c>
      <c r="BB33" t="s">
        <v>182</v>
      </c>
      <c r="BC33" t="s">
        <v>182</v>
      </c>
      <c r="BD33" t="s">
        <v>182</v>
      </c>
      <c r="BE33" t="s">
        <v>182</v>
      </c>
      <c r="BF33" t="s">
        <v>182</v>
      </c>
      <c r="BG33" t="s">
        <v>182</v>
      </c>
      <c r="BH33" t="s">
        <v>182</v>
      </c>
    </row>
    <row r="34" spans="1:60" x14ac:dyDescent="0.3">
      <c r="A34" t="b">
        <v>1</v>
      </c>
      <c r="B34" t="s">
        <v>182</v>
      </c>
      <c r="C34" t="s">
        <v>182</v>
      </c>
      <c r="D34" t="s">
        <v>182</v>
      </c>
      <c r="E34" t="s">
        <v>182</v>
      </c>
      <c r="F34" t="s">
        <v>182</v>
      </c>
      <c r="G34" t="s">
        <v>182</v>
      </c>
      <c r="H34" t="s">
        <v>182</v>
      </c>
      <c r="I34" t="s">
        <v>182</v>
      </c>
      <c r="J34" t="s">
        <v>182</v>
      </c>
      <c r="K34" t="s">
        <v>182</v>
      </c>
      <c r="L34" t="s">
        <v>182</v>
      </c>
      <c r="M34" t="s">
        <v>182</v>
      </c>
      <c r="N34" t="s">
        <v>182</v>
      </c>
      <c r="O34" t="s">
        <v>182</v>
      </c>
      <c r="P34" t="b">
        <v>1</v>
      </c>
      <c r="Q34" t="b">
        <v>1</v>
      </c>
      <c r="R34">
        <v>0</v>
      </c>
      <c r="S34">
        <v>0</v>
      </c>
      <c r="T34" t="s">
        <v>183</v>
      </c>
      <c r="U34" t="s">
        <v>184</v>
      </c>
      <c r="V34" t="s">
        <v>185</v>
      </c>
      <c r="W34" t="b">
        <v>1</v>
      </c>
      <c r="X34">
        <v>0</v>
      </c>
      <c r="Y34" t="s">
        <v>186</v>
      </c>
      <c r="Z34" t="b">
        <v>0</v>
      </c>
      <c r="AA34">
        <v>1304</v>
      </c>
      <c r="AB34" t="str">
        <f t="shared" si="1"/>
        <v>'1304',</v>
      </c>
      <c r="AC34">
        <v>1</v>
      </c>
      <c r="AD34" t="s">
        <v>362</v>
      </c>
      <c r="AE34" t="s">
        <v>363</v>
      </c>
      <c r="AF34" t="s">
        <v>364</v>
      </c>
      <c r="AG34" t="e">
        <f>VLOOKUP(AH34,Target_IES!$A:$A,1,FALSE)</f>
        <v>#N/A</v>
      </c>
      <c r="AH34" s="2" t="s">
        <v>365</v>
      </c>
      <c r="AI34" t="s">
        <v>365</v>
      </c>
      <c r="AJ34" t="b">
        <v>1</v>
      </c>
      <c r="AK34" t="s">
        <v>366</v>
      </c>
      <c r="AL34" t="s">
        <v>182</v>
      </c>
      <c r="AM34" t="s">
        <v>182</v>
      </c>
      <c r="AN34" t="s">
        <v>182</v>
      </c>
      <c r="AO34" t="s">
        <v>199</v>
      </c>
      <c r="AP34" t="s">
        <v>182</v>
      </c>
      <c r="AQ34" t="s">
        <v>182</v>
      </c>
      <c r="AR34" t="s">
        <v>182</v>
      </c>
      <c r="AS34" t="s">
        <v>182</v>
      </c>
      <c r="AT34" t="s">
        <v>182</v>
      </c>
      <c r="AU34" t="s">
        <v>182</v>
      </c>
      <c r="AV34" t="s">
        <v>182</v>
      </c>
      <c r="AW34" t="s">
        <v>182</v>
      </c>
      <c r="AX34" t="s">
        <v>182</v>
      </c>
      <c r="AY34">
        <v>1185</v>
      </c>
      <c r="AZ34">
        <v>2</v>
      </c>
      <c r="BA34" t="s">
        <v>182</v>
      </c>
      <c r="BB34" t="s">
        <v>182</v>
      </c>
      <c r="BC34" t="s">
        <v>182</v>
      </c>
      <c r="BD34" t="s">
        <v>182</v>
      </c>
      <c r="BE34" t="s">
        <v>182</v>
      </c>
      <c r="BF34" t="s">
        <v>182</v>
      </c>
      <c r="BG34" t="s">
        <v>182</v>
      </c>
      <c r="BH34" t="s">
        <v>182</v>
      </c>
    </row>
    <row r="35" spans="1:60" x14ac:dyDescent="0.3">
      <c r="A35" t="b">
        <v>1</v>
      </c>
      <c r="B35" t="s">
        <v>182</v>
      </c>
      <c r="C35" t="s">
        <v>182</v>
      </c>
      <c r="D35" t="s">
        <v>182</v>
      </c>
      <c r="E35" t="s">
        <v>182</v>
      </c>
      <c r="F35" t="s">
        <v>182</v>
      </c>
      <c r="G35" t="s">
        <v>182</v>
      </c>
      <c r="H35" t="s">
        <v>182</v>
      </c>
      <c r="I35" t="s">
        <v>182</v>
      </c>
      <c r="J35" t="s">
        <v>182</v>
      </c>
      <c r="K35" t="s">
        <v>182</v>
      </c>
      <c r="L35" t="s">
        <v>182</v>
      </c>
      <c r="M35" t="s">
        <v>182</v>
      </c>
      <c r="N35" t="s">
        <v>182</v>
      </c>
      <c r="O35" t="s">
        <v>182</v>
      </c>
      <c r="P35" t="b">
        <v>1</v>
      </c>
      <c r="Q35" t="b">
        <v>1</v>
      </c>
      <c r="R35">
        <v>0</v>
      </c>
      <c r="S35">
        <v>0</v>
      </c>
      <c r="T35" t="s">
        <v>183</v>
      </c>
      <c r="U35" t="s">
        <v>184</v>
      </c>
      <c r="V35" t="s">
        <v>185</v>
      </c>
      <c r="W35" t="b">
        <v>1</v>
      </c>
      <c r="X35">
        <v>0</v>
      </c>
      <c r="Y35" t="s">
        <v>186</v>
      </c>
      <c r="Z35" t="b">
        <v>0</v>
      </c>
      <c r="AA35">
        <v>1305</v>
      </c>
      <c r="AB35" t="str">
        <f t="shared" si="1"/>
        <v>'1305',</v>
      </c>
      <c r="AC35">
        <v>1</v>
      </c>
      <c r="AD35" t="s">
        <v>367</v>
      </c>
      <c r="AE35" t="s">
        <v>368</v>
      </c>
      <c r="AF35" t="s">
        <v>369</v>
      </c>
      <c r="AG35" t="e">
        <f>VLOOKUP(AH35,Target_IES!$A:$A,1,FALSE)</f>
        <v>#N/A</v>
      </c>
      <c r="AH35" s="2" t="s">
        <v>370</v>
      </c>
      <c r="AI35" t="s">
        <v>370</v>
      </c>
      <c r="AJ35" t="b">
        <v>1</v>
      </c>
      <c r="AK35" t="s">
        <v>371</v>
      </c>
      <c r="AL35" t="s">
        <v>182</v>
      </c>
      <c r="AM35" t="s">
        <v>182</v>
      </c>
      <c r="AN35" t="s">
        <v>182</v>
      </c>
      <c r="AO35" t="s">
        <v>182</v>
      </c>
      <c r="AP35" t="s">
        <v>182</v>
      </c>
      <c r="AQ35" t="s">
        <v>182</v>
      </c>
      <c r="AR35" t="s">
        <v>182</v>
      </c>
      <c r="AS35" t="s">
        <v>182</v>
      </c>
      <c r="AT35" t="s">
        <v>182</v>
      </c>
      <c r="AU35" t="s">
        <v>182</v>
      </c>
      <c r="AV35" t="s">
        <v>182</v>
      </c>
      <c r="AW35" t="s">
        <v>182</v>
      </c>
      <c r="AX35" t="s">
        <v>182</v>
      </c>
      <c r="AY35">
        <v>1185</v>
      </c>
      <c r="AZ35">
        <v>2</v>
      </c>
      <c r="BA35" t="s">
        <v>182</v>
      </c>
      <c r="BB35" t="s">
        <v>182</v>
      </c>
      <c r="BC35" t="s">
        <v>182</v>
      </c>
      <c r="BD35" t="s">
        <v>182</v>
      </c>
      <c r="BE35" t="s">
        <v>182</v>
      </c>
      <c r="BF35" t="s">
        <v>182</v>
      </c>
      <c r="BG35" t="s">
        <v>182</v>
      </c>
      <c r="BH35" t="s">
        <v>182</v>
      </c>
    </row>
    <row r="36" spans="1:60" x14ac:dyDescent="0.3">
      <c r="A36" t="b">
        <v>1</v>
      </c>
      <c r="B36" t="s">
        <v>182</v>
      </c>
      <c r="C36" t="s">
        <v>182</v>
      </c>
      <c r="D36" t="s">
        <v>182</v>
      </c>
      <c r="E36" t="s">
        <v>182</v>
      </c>
      <c r="F36" t="s">
        <v>182</v>
      </c>
      <c r="G36" t="s">
        <v>182</v>
      </c>
      <c r="H36" t="s">
        <v>182</v>
      </c>
      <c r="I36" t="s">
        <v>182</v>
      </c>
      <c r="J36" t="s">
        <v>182</v>
      </c>
      <c r="K36" t="s">
        <v>182</v>
      </c>
      <c r="L36" t="s">
        <v>182</v>
      </c>
      <c r="M36" t="s">
        <v>182</v>
      </c>
      <c r="N36" t="s">
        <v>182</v>
      </c>
      <c r="O36" t="s">
        <v>182</v>
      </c>
      <c r="P36" t="b">
        <v>1</v>
      </c>
      <c r="Q36" t="b">
        <v>1</v>
      </c>
      <c r="R36">
        <v>0</v>
      </c>
      <c r="S36">
        <v>0</v>
      </c>
      <c r="T36" t="s">
        <v>183</v>
      </c>
      <c r="U36" t="s">
        <v>184</v>
      </c>
      <c r="V36" t="s">
        <v>185</v>
      </c>
      <c r="W36" t="b">
        <v>1</v>
      </c>
      <c r="X36">
        <v>0</v>
      </c>
      <c r="Y36" t="s">
        <v>186</v>
      </c>
      <c r="Z36" t="b">
        <v>0</v>
      </c>
      <c r="AA36">
        <v>1306</v>
      </c>
      <c r="AB36" t="str">
        <f t="shared" si="1"/>
        <v>'1306',</v>
      </c>
      <c r="AC36">
        <v>1</v>
      </c>
      <c r="AD36" t="s">
        <v>372</v>
      </c>
      <c r="AE36" t="s">
        <v>373</v>
      </c>
      <c r="AF36" t="s">
        <v>374</v>
      </c>
      <c r="AG36" t="e">
        <f>VLOOKUP(AH36,Target_IES!$A:$A,1,FALSE)</f>
        <v>#N/A</v>
      </c>
      <c r="AH36" t="s">
        <v>375</v>
      </c>
      <c r="AI36" t="s">
        <v>375</v>
      </c>
      <c r="AJ36" t="b">
        <v>1</v>
      </c>
      <c r="AK36" t="s">
        <v>376</v>
      </c>
      <c r="AL36" t="s">
        <v>182</v>
      </c>
      <c r="AM36" t="s">
        <v>182</v>
      </c>
      <c r="AN36" t="s">
        <v>182</v>
      </c>
      <c r="AO36" t="s">
        <v>330</v>
      </c>
      <c r="AP36" t="s">
        <v>182</v>
      </c>
      <c r="AQ36" t="s">
        <v>182</v>
      </c>
      <c r="AR36" t="s">
        <v>182</v>
      </c>
      <c r="AS36" t="s">
        <v>182</v>
      </c>
      <c r="AT36" t="s">
        <v>182</v>
      </c>
      <c r="AU36" t="s">
        <v>182</v>
      </c>
      <c r="AV36" t="s">
        <v>182</v>
      </c>
      <c r="AW36" t="s">
        <v>182</v>
      </c>
      <c r="AX36" t="s">
        <v>182</v>
      </c>
      <c r="AY36">
        <v>86</v>
      </c>
      <c r="AZ36">
        <v>1</v>
      </c>
      <c r="BA36" t="s">
        <v>182</v>
      </c>
      <c r="BB36" t="s">
        <v>182</v>
      </c>
      <c r="BC36" t="s">
        <v>182</v>
      </c>
      <c r="BD36" t="s">
        <v>182</v>
      </c>
      <c r="BE36" t="s">
        <v>182</v>
      </c>
      <c r="BF36" t="s">
        <v>182</v>
      </c>
      <c r="BG36" t="s">
        <v>182</v>
      </c>
      <c r="BH36" t="s">
        <v>182</v>
      </c>
    </row>
    <row r="37" spans="1:60" x14ac:dyDescent="0.3">
      <c r="A37" t="b">
        <v>1</v>
      </c>
      <c r="B37" t="s">
        <v>182</v>
      </c>
      <c r="C37" t="s">
        <v>182</v>
      </c>
      <c r="D37" t="s">
        <v>182</v>
      </c>
      <c r="E37" t="s">
        <v>182</v>
      </c>
      <c r="F37" t="s">
        <v>182</v>
      </c>
      <c r="G37" t="s">
        <v>182</v>
      </c>
      <c r="H37" t="s">
        <v>182</v>
      </c>
      <c r="I37" t="s">
        <v>182</v>
      </c>
      <c r="J37" t="s">
        <v>182</v>
      </c>
      <c r="K37" t="s">
        <v>182</v>
      </c>
      <c r="L37" t="s">
        <v>182</v>
      </c>
      <c r="M37" t="s">
        <v>182</v>
      </c>
      <c r="N37" t="s">
        <v>182</v>
      </c>
      <c r="O37" t="s">
        <v>182</v>
      </c>
      <c r="P37" t="b">
        <v>1</v>
      </c>
      <c r="Q37" t="b">
        <v>1</v>
      </c>
      <c r="R37">
        <v>0</v>
      </c>
      <c r="S37">
        <v>0</v>
      </c>
      <c r="T37" t="s">
        <v>183</v>
      </c>
      <c r="U37" t="s">
        <v>184</v>
      </c>
      <c r="V37" t="s">
        <v>185</v>
      </c>
      <c r="W37" t="b">
        <v>1</v>
      </c>
      <c r="X37">
        <v>0</v>
      </c>
      <c r="Y37" t="s">
        <v>186</v>
      </c>
      <c r="Z37" t="b">
        <v>0</v>
      </c>
      <c r="AA37">
        <v>1307</v>
      </c>
      <c r="AB37" t="str">
        <f t="shared" si="1"/>
        <v>'1307',</v>
      </c>
      <c r="AC37">
        <v>1</v>
      </c>
      <c r="AD37" t="s">
        <v>377</v>
      </c>
      <c r="AE37" t="s">
        <v>378</v>
      </c>
      <c r="AF37" t="s">
        <v>379</v>
      </c>
      <c r="AG37" t="e">
        <f>VLOOKUP(AH37,Target_IES!$A:$A,1,FALSE)</f>
        <v>#N/A</v>
      </c>
      <c r="AH37" t="s">
        <v>380</v>
      </c>
      <c r="AI37" t="s">
        <v>380</v>
      </c>
      <c r="AJ37" t="b">
        <v>1</v>
      </c>
      <c r="AK37" t="s">
        <v>381</v>
      </c>
      <c r="AL37" t="s">
        <v>182</v>
      </c>
      <c r="AM37" t="s">
        <v>182</v>
      </c>
      <c r="AN37" t="s">
        <v>182</v>
      </c>
      <c r="AO37" t="s">
        <v>330</v>
      </c>
      <c r="AP37" t="s">
        <v>182</v>
      </c>
      <c r="AQ37">
        <v>593694</v>
      </c>
      <c r="AR37" t="s">
        <v>182</v>
      </c>
      <c r="AS37" t="s">
        <v>182</v>
      </c>
      <c r="AT37" t="s">
        <v>182</v>
      </c>
      <c r="AU37" t="s">
        <v>182</v>
      </c>
      <c r="AV37" t="s">
        <v>182</v>
      </c>
      <c r="AW37" t="s">
        <v>182</v>
      </c>
      <c r="AX37" t="s">
        <v>182</v>
      </c>
      <c r="AY37">
        <v>154</v>
      </c>
      <c r="AZ37">
        <v>1</v>
      </c>
      <c r="BA37" t="s">
        <v>182</v>
      </c>
      <c r="BB37" t="s">
        <v>182</v>
      </c>
      <c r="BC37" t="s">
        <v>182</v>
      </c>
      <c r="BD37" t="s">
        <v>182</v>
      </c>
      <c r="BE37" t="s">
        <v>182</v>
      </c>
      <c r="BF37" t="s">
        <v>182</v>
      </c>
      <c r="BG37" t="s">
        <v>182</v>
      </c>
      <c r="BH37" t="s">
        <v>182</v>
      </c>
    </row>
    <row r="38" spans="1:60" x14ac:dyDescent="0.3">
      <c r="A38" t="b">
        <v>1</v>
      </c>
      <c r="B38" t="s">
        <v>182</v>
      </c>
      <c r="C38" t="s">
        <v>182</v>
      </c>
      <c r="D38" t="s">
        <v>182</v>
      </c>
      <c r="E38" t="s">
        <v>182</v>
      </c>
      <c r="F38" t="s">
        <v>182</v>
      </c>
      <c r="G38" t="s">
        <v>182</v>
      </c>
      <c r="H38" t="s">
        <v>182</v>
      </c>
      <c r="I38" t="s">
        <v>182</v>
      </c>
      <c r="J38" t="s">
        <v>182</v>
      </c>
      <c r="K38" t="s">
        <v>182</v>
      </c>
      <c r="L38" t="s">
        <v>182</v>
      </c>
      <c r="M38" t="s">
        <v>182</v>
      </c>
      <c r="N38" t="s">
        <v>182</v>
      </c>
      <c r="O38" t="s">
        <v>182</v>
      </c>
      <c r="P38" t="b">
        <v>1</v>
      </c>
      <c r="Q38" t="b">
        <v>1</v>
      </c>
      <c r="R38">
        <v>0</v>
      </c>
      <c r="S38">
        <v>0</v>
      </c>
      <c r="T38" t="s">
        <v>183</v>
      </c>
      <c r="U38" t="s">
        <v>184</v>
      </c>
      <c r="V38" t="s">
        <v>185</v>
      </c>
      <c r="W38" t="b">
        <v>1</v>
      </c>
      <c r="X38">
        <v>0</v>
      </c>
      <c r="Y38" t="s">
        <v>186</v>
      </c>
      <c r="Z38" t="b">
        <v>0</v>
      </c>
      <c r="AA38">
        <v>1309</v>
      </c>
      <c r="AB38" t="str">
        <f t="shared" si="1"/>
        <v>'1309',</v>
      </c>
      <c r="AC38">
        <v>1</v>
      </c>
      <c r="AD38" t="s">
        <v>382</v>
      </c>
      <c r="AE38" t="s">
        <v>383</v>
      </c>
      <c r="AF38" t="s">
        <v>384</v>
      </c>
      <c r="AG38" t="e">
        <f>VLOOKUP(AH38,Target_IES!$A:$A,1,FALSE)</f>
        <v>#N/A</v>
      </c>
      <c r="AH38" t="s">
        <v>385</v>
      </c>
      <c r="AI38" t="s">
        <v>385</v>
      </c>
      <c r="AJ38" t="b">
        <v>1</v>
      </c>
      <c r="AK38" t="s">
        <v>386</v>
      </c>
      <c r="AL38" t="s">
        <v>182</v>
      </c>
      <c r="AM38" t="s">
        <v>182</v>
      </c>
      <c r="AN38" t="s">
        <v>182</v>
      </c>
      <c r="AO38" t="s">
        <v>199</v>
      </c>
      <c r="AP38" t="s">
        <v>182</v>
      </c>
      <c r="AQ38" t="s">
        <v>182</v>
      </c>
      <c r="AR38" t="s">
        <v>182</v>
      </c>
      <c r="AS38" t="s">
        <v>182</v>
      </c>
      <c r="AT38" t="s">
        <v>182</v>
      </c>
      <c r="AU38" t="s">
        <v>182</v>
      </c>
      <c r="AV38" t="s">
        <v>182</v>
      </c>
      <c r="AW38" t="s">
        <v>182</v>
      </c>
      <c r="AX38" t="s">
        <v>182</v>
      </c>
      <c r="AY38">
        <v>94</v>
      </c>
      <c r="AZ38">
        <v>1</v>
      </c>
      <c r="BA38" t="s">
        <v>182</v>
      </c>
      <c r="BB38" t="s">
        <v>182</v>
      </c>
      <c r="BC38" t="s">
        <v>182</v>
      </c>
      <c r="BD38" t="s">
        <v>182</v>
      </c>
      <c r="BE38" t="s">
        <v>182</v>
      </c>
      <c r="BF38" t="s">
        <v>182</v>
      </c>
      <c r="BG38" t="s">
        <v>182</v>
      </c>
      <c r="BH38" t="s">
        <v>182</v>
      </c>
    </row>
    <row r="39" spans="1:60" x14ac:dyDescent="0.3">
      <c r="A39" t="b">
        <v>1</v>
      </c>
      <c r="B39" t="s">
        <v>182</v>
      </c>
      <c r="C39" t="s">
        <v>182</v>
      </c>
      <c r="D39" t="s">
        <v>182</v>
      </c>
      <c r="E39" t="s">
        <v>182</v>
      </c>
      <c r="F39" t="s">
        <v>182</v>
      </c>
      <c r="G39" t="s">
        <v>182</v>
      </c>
      <c r="H39" t="s">
        <v>182</v>
      </c>
      <c r="I39" t="s">
        <v>182</v>
      </c>
      <c r="J39" t="s">
        <v>182</v>
      </c>
      <c r="K39" t="s">
        <v>182</v>
      </c>
      <c r="L39" t="s">
        <v>182</v>
      </c>
      <c r="M39" t="s">
        <v>182</v>
      </c>
      <c r="N39" t="s">
        <v>182</v>
      </c>
      <c r="O39" t="s">
        <v>182</v>
      </c>
      <c r="P39" t="b">
        <v>1</v>
      </c>
      <c r="Q39" t="b">
        <v>1</v>
      </c>
      <c r="R39">
        <v>0</v>
      </c>
      <c r="S39">
        <v>0</v>
      </c>
      <c r="T39" t="s">
        <v>183</v>
      </c>
      <c r="U39" t="s">
        <v>184</v>
      </c>
      <c r="V39" t="s">
        <v>185</v>
      </c>
      <c r="W39" t="b">
        <v>1</v>
      </c>
      <c r="X39">
        <v>0</v>
      </c>
      <c r="Y39" t="s">
        <v>186</v>
      </c>
      <c r="Z39" t="b">
        <v>0</v>
      </c>
      <c r="AA39">
        <v>1320</v>
      </c>
      <c r="AB39" t="str">
        <f t="shared" si="1"/>
        <v>'1320',</v>
      </c>
      <c r="AC39">
        <v>1</v>
      </c>
      <c r="AD39" t="s">
        <v>387</v>
      </c>
      <c r="AE39" t="s">
        <v>388</v>
      </c>
      <c r="AF39" t="s">
        <v>389</v>
      </c>
      <c r="AG39" t="e">
        <f>VLOOKUP(AH39,Target_IES!$A:$A,1,FALSE)</f>
        <v>#N/A</v>
      </c>
      <c r="AH39" t="s">
        <v>390</v>
      </c>
      <c r="AI39" t="s">
        <v>390</v>
      </c>
      <c r="AJ39" t="b">
        <v>1</v>
      </c>
      <c r="AK39" t="s">
        <v>391</v>
      </c>
      <c r="AL39" t="s">
        <v>182</v>
      </c>
      <c r="AM39" t="s">
        <v>182</v>
      </c>
      <c r="AN39" t="s">
        <v>182</v>
      </c>
      <c r="AO39" t="s">
        <v>392</v>
      </c>
      <c r="AP39" t="s">
        <v>182</v>
      </c>
      <c r="AQ39">
        <v>593697</v>
      </c>
      <c r="AR39" t="s">
        <v>182</v>
      </c>
      <c r="AS39" t="s">
        <v>182</v>
      </c>
      <c r="AT39" t="s">
        <v>182</v>
      </c>
      <c r="AU39" t="s">
        <v>182</v>
      </c>
      <c r="AV39" t="s">
        <v>182</v>
      </c>
      <c r="AW39" t="s">
        <v>182</v>
      </c>
      <c r="AX39" t="s">
        <v>182</v>
      </c>
      <c r="AY39">
        <v>131</v>
      </c>
      <c r="AZ39">
        <v>1</v>
      </c>
      <c r="BA39" t="s">
        <v>182</v>
      </c>
      <c r="BB39" t="s">
        <v>182</v>
      </c>
      <c r="BC39" t="s">
        <v>182</v>
      </c>
      <c r="BD39" t="s">
        <v>182</v>
      </c>
      <c r="BE39" t="s">
        <v>182</v>
      </c>
      <c r="BF39" t="s">
        <v>182</v>
      </c>
      <c r="BG39" t="s">
        <v>182</v>
      </c>
      <c r="BH39" t="s">
        <v>182</v>
      </c>
    </row>
    <row r="40" spans="1:60" x14ac:dyDescent="0.3">
      <c r="A40" t="b">
        <v>1</v>
      </c>
      <c r="B40" t="s">
        <v>182</v>
      </c>
      <c r="C40" t="s">
        <v>182</v>
      </c>
      <c r="D40" t="s">
        <v>182</v>
      </c>
      <c r="E40" t="s">
        <v>182</v>
      </c>
      <c r="F40" t="s">
        <v>182</v>
      </c>
      <c r="G40" t="s">
        <v>182</v>
      </c>
      <c r="H40" t="s">
        <v>182</v>
      </c>
      <c r="I40" t="s">
        <v>182</v>
      </c>
      <c r="J40" t="s">
        <v>182</v>
      </c>
      <c r="K40" t="s">
        <v>182</v>
      </c>
      <c r="L40" t="s">
        <v>182</v>
      </c>
      <c r="M40" t="s">
        <v>182</v>
      </c>
      <c r="N40" t="s">
        <v>182</v>
      </c>
      <c r="O40" t="s">
        <v>182</v>
      </c>
      <c r="P40" t="b">
        <v>1</v>
      </c>
      <c r="Q40" t="b">
        <v>1</v>
      </c>
      <c r="R40">
        <v>0</v>
      </c>
      <c r="S40">
        <v>0</v>
      </c>
      <c r="T40" t="s">
        <v>183</v>
      </c>
      <c r="U40" t="s">
        <v>184</v>
      </c>
      <c r="V40" t="s">
        <v>185</v>
      </c>
      <c r="W40" t="b">
        <v>1</v>
      </c>
      <c r="X40">
        <v>0</v>
      </c>
      <c r="Y40" t="s">
        <v>186</v>
      </c>
      <c r="Z40" t="b">
        <v>0</v>
      </c>
      <c r="AA40">
        <v>1321</v>
      </c>
      <c r="AB40" t="str">
        <f t="shared" si="1"/>
        <v>'1321',</v>
      </c>
      <c r="AC40">
        <v>2</v>
      </c>
      <c r="AD40" t="s">
        <v>393</v>
      </c>
      <c r="AE40" t="s">
        <v>394</v>
      </c>
      <c r="AF40" t="s">
        <v>395</v>
      </c>
      <c r="AG40" t="e">
        <f>VLOOKUP(AH40,Target_IES!$A:$A,1,FALSE)</f>
        <v>#N/A</v>
      </c>
      <c r="AH40" t="s">
        <v>396</v>
      </c>
      <c r="AI40" t="s">
        <v>396</v>
      </c>
      <c r="AJ40" t="b">
        <v>1</v>
      </c>
      <c r="AK40" t="s">
        <v>397</v>
      </c>
      <c r="AL40" t="s">
        <v>182</v>
      </c>
      <c r="AM40" t="s">
        <v>182</v>
      </c>
      <c r="AN40" t="s">
        <v>182</v>
      </c>
      <c r="AO40" t="s">
        <v>398</v>
      </c>
      <c r="AP40" t="s">
        <v>182</v>
      </c>
      <c r="AQ40">
        <v>593697</v>
      </c>
      <c r="AR40" t="s">
        <v>182</v>
      </c>
      <c r="AS40" t="s">
        <v>182</v>
      </c>
      <c r="AT40" t="s">
        <v>182</v>
      </c>
      <c r="AU40" t="s">
        <v>182</v>
      </c>
      <c r="AV40" t="s">
        <v>182</v>
      </c>
      <c r="AW40" t="s">
        <v>182</v>
      </c>
      <c r="AX40" t="s">
        <v>182</v>
      </c>
      <c r="AY40">
        <v>131</v>
      </c>
      <c r="AZ40">
        <v>1</v>
      </c>
      <c r="BA40" t="s">
        <v>182</v>
      </c>
      <c r="BB40" t="s">
        <v>182</v>
      </c>
      <c r="BC40" t="s">
        <v>182</v>
      </c>
      <c r="BD40" t="s">
        <v>182</v>
      </c>
      <c r="BE40" t="s">
        <v>182</v>
      </c>
      <c r="BF40" t="s">
        <v>182</v>
      </c>
      <c r="BG40" t="s">
        <v>182</v>
      </c>
      <c r="BH40" t="s">
        <v>182</v>
      </c>
    </row>
    <row r="41" spans="1:60" x14ac:dyDescent="0.3">
      <c r="A41" t="b">
        <v>1</v>
      </c>
      <c r="B41" t="s">
        <v>182</v>
      </c>
      <c r="C41" t="s">
        <v>182</v>
      </c>
      <c r="D41" t="s">
        <v>182</v>
      </c>
      <c r="E41" t="s">
        <v>182</v>
      </c>
      <c r="F41" t="s">
        <v>182</v>
      </c>
      <c r="G41" t="s">
        <v>182</v>
      </c>
      <c r="H41" t="s">
        <v>182</v>
      </c>
      <c r="I41" t="s">
        <v>182</v>
      </c>
      <c r="J41" t="s">
        <v>182</v>
      </c>
      <c r="K41" t="s">
        <v>182</v>
      </c>
      <c r="L41" t="s">
        <v>182</v>
      </c>
      <c r="M41" t="s">
        <v>182</v>
      </c>
      <c r="N41" t="s">
        <v>182</v>
      </c>
      <c r="O41" t="s">
        <v>182</v>
      </c>
      <c r="P41" t="b">
        <v>1</v>
      </c>
      <c r="Q41" t="b">
        <v>1</v>
      </c>
      <c r="R41">
        <v>0</v>
      </c>
      <c r="S41">
        <v>0</v>
      </c>
      <c r="T41" t="s">
        <v>183</v>
      </c>
      <c r="U41" t="s">
        <v>184</v>
      </c>
      <c r="V41" t="s">
        <v>185</v>
      </c>
      <c r="W41" t="b">
        <v>1</v>
      </c>
      <c r="X41">
        <v>0</v>
      </c>
      <c r="Y41" t="s">
        <v>186</v>
      </c>
      <c r="Z41" t="b">
        <v>0</v>
      </c>
      <c r="AA41">
        <v>1330</v>
      </c>
      <c r="AB41" t="str">
        <f t="shared" si="1"/>
        <v>'1330',</v>
      </c>
      <c r="AC41">
        <v>1</v>
      </c>
      <c r="AD41" t="s">
        <v>399</v>
      </c>
      <c r="AE41" t="s">
        <v>400</v>
      </c>
      <c r="AF41" t="s">
        <v>401</v>
      </c>
      <c r="AG41" t="e">
        <f>VLOOKUP(AH41,Target_IES!$A:$A,1,FALSE)</f>
        <v>#N/A</v>
      </c>
      <c r="AH41" t="s">
        <v>402</v>
      </c>
      <c r="AI41" t="s">
        <v>402</v>
      </c>
      <c r="AJ41" t="b">
        <v>1</v>
      </c>
      <c r="AK41" t="s">
        <v>403</v>
      </c>
      <c r="AL41" t="s">
        <v>182</v>
      </c>
      <c r="AM41" t="s">
        <v>182</v>
      </c>
      <c r="AN41" t="s">
        <v>182</v>
      </c>
      <c r="AO41" t="s">
        <v>404</v>
      </c>
      <c r="AP41" t="s">
        <v>182</v>
      </c>
      <c r="AQ41">
        <v>593695</v>
      </c>
      <c r="AR41" t="s">
        <v>182</v>
      </c>
      <c r="AS41" t="s">
        <v>182</v>
      </c>
      <c r="AT41" t="s">
        <v>182</v>
      </c>
      <c r="AU41" t="s">
        <v>182</v>
      </c>
      <c r="AV41" t="s">
        <v>182</v>
      </c>
      <c r="AW41" t="s">
        <v>182</v>
      </c>
      <c r="AX41" t="s">
        <v>182</v>
      </c>
      <c r="AY41">
        <v>104</v>
      </c>
      <c r="AZ41">
        <v>1</v>
      </c>
      <c r="BA41" t="s">
        <v>182</v>
      </c>
      <c r="BB41" t="s">
        <v>182</v>
      </c>
      <c r="BC41" t="s">
        <v>182</v>
      </c>
      <c r="BD41" t="s">
        <v>182</v>
      </c>
      <c r="BE41" t="s">
        <v>182</v>
      </c>
      <c r="BF41" t="s">
        <v>182</v>
      </c>
      <c r="BG41" t="s">
        <v>182</v>
      </c>
      <c r="BH41" t="s">
        <v>182</v>
      </c>
    </row>
    <row r="42" spans="1:60" x14ac:dyDescent="0.3">
      <c r="A42" t="b">
        <v>1</v>
      </c>
      <c r="B42" t="s">
        <v>182</v>
      </c>
      <c r="C42" t="s">
        <v>182</v>
      </c>
      <c r="D42" t="s">
        <v>182</v>
      </c>
      <c r="E42" t="s">
        <v>182</v>
      </c>
      <c r="F42" t="s">
        <v>182</v>
      </c>
      <c r="G42" t="s">
        <v>182</v>
      </c>
      <c r="H42" t="s">
        <v>182</v>
      </c>
      <c r="I42" t="s">
        <v>182</v>
      </c>
      <c r="J42" t="s">
        <v>182</v>
      </c>
      <c r="K42" t="s">
        <v>182</v>
      </c>
      <c r="L42" t="s">
        <v>182</v>
      </c>
      <c r="M42" t="s">
        <v>182</v>
      </c>
      <c r="N42" t="s">
        <v>182</v>
      </c>
      <c r="O42" t="s">
        <v>182</v>
      </c>
      <c r="P42" t="b">
        <v>1</v>
      </c>
      <c r="Q42" t="b">
        <v>1</v>
      </c>
      <c r="R42">
        <v>0</v>
      </c>
      <c r="S42">
        <v>0</v>
      </c>
      <c r="T42" t="s">
        <v>183</v>
      </c>
      <c r="U42" t="s">
        <v>184</v>
      </c>
      <c r="V42" t="s">
        <v>185</v>
      </c>
      <c r="W42" t="b">
        <v>1</v>
      </c>
      <c r="X42">
        <v>0</v>
      </c>
      <c r="Y42" t="s">
        <v>186</v>
      </c>
      <c r="Z42" t="b">
        <v>0</v>
      </c>
      <c r="AA42">
        <v>1331</v>
      </c>
      <c r="AB42" t="str">
        <f t="shared" si="1"/>
        <v>'1331',</v>
      </c>
      <c r="AC42">
        <v>3</v>
      </c>
      <c r="AD42" t="s">
        <v>405</v>
      </c>
      <c r="AE42" t="s">
        <v>406</v>
      </c>
      <c r="AF42" t="s">
        <v>407</v>
      </c>
      <c r="AG42" t="e">
        <f>VLOOKUP(AH42,Target_IES!$A:$A,1,FALSE)</f>
        <v>#N/A</v>
      </c>
      <c r="AH42" t="s">
        <v>408</v>
      </c>
      <c r="AI42" t="s">
        <v>408</v>
      </c>
      <c r="AJ42" t="b">
        <v>1</v>
      </c>
      <c r="AK42" t="s">
        <v>409</v>
      </c>
      <c r="AL42" t="s">
        <v>182</v>
      </c>
      <c r="AM42" t="s">
        <v>182</v>
      </c>
      <c r="AN42" t="s">
        <v>182</v>
      </c>
      <c r="AO42" t="s">
        <v>410</v>
      </c>
      <c r="AP42" t="s">
        <v>182</v>
      </c>
      <c r="AQ42" t="s">
        <v>182</v>
      </c>
      <c r="AR42" t="s">
        <v>182</v>
      </c>
      <c r="AS42" t="s">
        <v>182</v>
      </c>
      <c r="AT42" t="s">
        <v>182</v>
      </c>
      <c r="AU42" t="s">
        <v>182</v>
      </c>
      <c r="AV42" t="s">
        <v>182</v>
      </c>
      <c r="AW42" t="s">
        <v>182</v>
      </c>
      <c r="AX42" t="s">
        <v>182</v>
      </c>
      <c r="AY42">
        <v>48</v>
      </c>
      <c r="AZ42">
        <v>1</v>
      </c>
      <c r="BA42" t="s">
        <v>182</v>
      </c>
      <c r="BB42" t="s">
        <v>182</v>
      </c>
      <c r="BC42" t="s">
        <v>182</v>
      </c>
      <c r="BD42" t="s">
        <v>182</v>
      </c>
      <c r="BE42" t="s">
        <v>182</v>
      </c>
      <c r="BF42" t="s">
        <v>182</v>
      </c>
      <c r="BG42" t="s">
        <v>182</v>
      </c>
      <c r="BH42" t="s">
        <v>182</v>
      </c>
    </row>
  </sheetData>
  <autoFilter ref="A1:BH42" xr:uid="{B4CB2D68-57A8-42E1-87E6-11A6DCFDDE75}">
    <filterColumn colId="3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Target_IES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Dixit Prajapati</cp:lastModifiedBy>
  <dcterms:modified xsi:type="dcterms:W3CDTF">2025-11-04T13:56:48Z</dcterms:modified>
</cp:coreProperties>
</file>